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4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Process Flow Mass Balance" sheetId="2" state="visible" r:id="rId2"/>
    <sheet name="Cooling Tower &amp; Corrugated Fill" sheetId="3" state="visible" r:id="rId3"/>
    <sheet name="Pumping &amp; Fan Hydraulics" sheetId="4" state="visible" r:id="rId4"/>
    <sheet name="Disinfection &amp; Microbial Risk" sheetId="5" state="visible" r:id="rId5"/>
    <sheet name="Financial &amp; LCC Analysis" sheetId="6" state="visible" r:id="rId6"/>
    <sheet name="Source Library" sheetId="7" state="visible" r:id="rId7"/>
    <sheet name="Merkel Solv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"/>
    <numFmt numFmtId="165" formatCode="0.0%"/>
    <numFmt numFmtId="166" formatCode="0.000"/>
    <numFmt numFmtId="167" formatCode="0.0000"/>
    <numFmt numFmtId="168" formatCode="0.00000"/>
    <numFmt numFmtId="169" formatCode="0.000%"/>
    <numFmt numFmtId="170" formatCode="$#,##0"/>
  </numFmts>
  <fonts count="11">
    <font>
      <name val="Calibri"/>
      <family val="2"/>
      <color theme="1"/>
      <sz val="11"/>
      <scheme val="minor"/>
    </font>
    <font>
      <name val="Calibri"/>
      <b val="1"/>
      <color rgb="001F3864"/>
      <sz val="18"/>
    </font>
    <font>
      <name val="Calibri"/>
      <i val="1"/>
      <color rgb="00595959"/>
      <sz val="11"/>
    </font>
    <font>
      <name val="Calibri"/>
      <b val="1"/>
      <color rgb="001F3864"/>
      <sz val="12"/>
    </font>
    <font/>
    <font>
      <name val="Calibri"/>
      <color rgb="001F3864"/>
      <sz val="11"/>
    </font>
    <font>
      <color rgb="00595959"/>
    </font>
    <font>
      <name val="Calibri"/>
      <i val="1"/>
      <color rgb="00595959"/>
      <sz val="10"/>
    </font>
    <font>
      <name val="Calibri"/>
      <b val="1"/>
      <color rgb="00FFFFFF"/>
      <sz val="11"/>
    </font>
    <font>
      <b val="1"/>
      <color rgb="00C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  <fill>
      <patternFill patternType="solid">
        <fgColor rgb="001F386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1" pivotButton="0" quotePrefix="0" xfId="0"/>
    <xf numFmtId="0" fontId="5" fillId="3" borderId="1" pivotButton="0" quotePrefix="0" xfId="0"/>
    <xf numFmtId="0" fontId="6" fillId="0" borderId="1" pivotButton="0" quotePrefix="0" xfId="0"/>
    <xf numFmtId="0" fontId="7" fillId="0" borderId="0" pivotButton="0" quotePrefix="0" xfId="0"/>
    <xf numFmtId="164" fontId="5" fillId="3" borderId="1" pivotButton="0" quotePrefix="0" xfId="0"/>
    <xf numFmtId="165" fontId="5" fillId="3" borderId="1" pivotButton="0" quotePrefix="0" xfId="0"/>
    <xf numFmtId="0" fontId="8" fillId="4" borderId="1" applyAlignment="1" pivotButton="0" quotePrefix="0" xfId="0">
      <alignment horizontal="center" vertical="center" wrapText="1"/>
    </xf>
    <xf numFmtId="4" fontId="4" fillId="5" borderId="1" pivotButton="0" quotePrefix="0" xfId="0"/>
    <xf numFmtId="3" fontId="4" fillId="5" borderId="1" pivotButton="0" quotePrefix="0" xfId="0"/>
    <xf numFmtId="166" fontId="4" fillId="5" borderId="1" pivotButton="0" quotePrefix="0" xfId="0"/>
    <xf numFmtId="170" fontId="4" fillId="5" borderId="1" pivotButton="0" quotePrefix="0" xfId="0"/>
    <xf numFmtId="11" fontId="4" fillId="5" borderId="1" pivotButton="0" quotePrefix="0" xfId="0"/>
    <xf numFmtId="0" fontId="10" fillId="0" borderId="1" pivotButton="0" quotePrefix="0" xfId="0"/>
    <xf numFmtId="165" fontId="4" fillId="5" borderId="1" pivotButton="0" quotePrefix="0" xfId="0"/>
    <xf numFmtId="0" fontId="9" fillId="0" borderId="0" pivotButton="0" quotePrefix="0" xfId="0"/>
    <xf numFmtId="166" fontId="5" fillId="3" borderId="1" pivotButton="0" quotePrefix="0" xfId="0"/>
    <xf numFmtId="4" fontId="5" fillId="3" borderId="1" pivotButton="0" quotePrefix="0" xfId="0"/>
    <xf numFmtId="167" fontId="4" fillId="5" borderId="1" pivotButton="0" quotePrefix="0" xfId="0"/>
    <xf numFmtId="0" fontId="4" fillId="5" borderId="1" pivotButton="0" quotePrefix="0" xfId="0"/>
    <xf numFmtId="168" fontId="5" fillId="3" borderId="1" pivotButton="0" quotePrefix="0" xfId="0"/>
    <xf numFmtId="167" fontId="5" fillId="3" borderId="1" pivotButton="0" quotePrefix="0" xfId="0"/>
    <xf numFmtId="3" fontId="5" fillId="3" borderId="1" pivotButton="0" quotePrefix="0" xfId="0"/>
    <xf numFmtId="169" fontId="5" fillId="3" borderId="1" pivotButton="0" quotePrefix="0" xfId="0"/>
    <xf numFmtId="164" fontId="4" fillId="5" borderId="1" pivotButton="0" quotePrefix="0" xfId="0"/>
    <xf numFmtId="11" fontId="5" fillId="3" borderId="1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Water losses (gpd)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'Dashboard'!C63</f>
            </strRef>
          </tx>
          <spPr>
            <a:ln>
              <a:prstDash val="solid"/>
            </a:ln>
          </spPr>
          <cat>
            <numRef>
              <f>'Dashboard'!$B$64:$B$67</f>
            </numRef>
          </cat>
          <val>
            <numRef>
              <f>'Dashboard'!$C$64:$C$67</f>
            </numRef>
          </val>
        </ser>
        <ser>
          <idx val="1"/>
          <order val="1"/>
          <tx>
            <strRef>
              <f>'Dashboard'!D63</f>
            </strRef>
          </tx>
          <spPr>
            <a:ln>
              <a:prstDash val="solid"/>
            </a:ln>
          </spPr>
          <cat>
            <numRef>
              <f>'Dashboard'!$B$64:$B$67</f>
            </numRef>
          </cat>
          <val>
            <numRef>
              <f>'Dashboard'!$D$64:$D$67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gpd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cost by item ($/yr)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'Dashboard'!C70</f>
            </strRef>
          </tx>
          <spPr>
            <a:ln>
              <a:prstDash val="solid"/>
            </a:ln>
          </spPr>
          <cat>
            <numRef>
              <f>'Dashboard'!$B$71:$B$76</f>
            </numRef>
          </cat>
          <val>
            <numRef>
              <f>'Dashboard'!$C$71:$C$76</f>
            </numRef>
          </val>
        </ser>
        <ser>
          <idx val="1"/>
          <order val="1"/>
          <tx>
            <strRef>
              <f>'Dashboard'!D70</f>
            </strRef>
          </tx>
          <spPr>
            <a:ln>
              <a:prstDash val="solid"/>
            </a:ln>
          </spPr>
          <cat>
            <numRef>
              <f>'Dashboard'!$B$71:$B$76</f>
            </numRef>
          </cat>
          <val>
            <numRef>
              <f>'Dashboard'!$D$71:$D$76</f>
            </numRef>
          </val>
        </ser>
        <gapWidth val="150"/>
        <overlap val="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Tower water losses: Baseline vs Upgrade (gpd)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'Cooling Tower &amp; Corrugated Fill'!I139</f>
            </strRef>
          </tx>
          <spPr>
            <a:ln>
              <a:prstDash val="solid"/>
            </a:ln>
          </spPr>
          <cat>
            <numRef>
              <f>'Cooling Tower &amp; Corrugated Fill'!$H$140:$H$143</f>
            </numRef>
          </cat>
          <val>
            <numRef>
              <f>'Cooling Tower &amp; Corrugated Fill'!$I$140:$I$143</f>
            </numRef>
          </val>
        </ser>
        <ser>
          <idx val="1"/>
          <order val="1"/>
          <tx>
            <strRef>
              <f>'Cooling Tower &amp; Corrugated Fill'!J139</f>
            </strRef>
          </tx>
          <spPr>
            <a:ln>
              <a:prstDash val="solid"/>
            </a:ln>
          </spPr>
          <cat>
            <numRef>
              <f>'Cooling Tower &amp; Corrugated Fill'!$H$140:$H$143</f>
            </numRef>
          </cat>
          <val>
            <numRef>
              <f>'Cooling Tower &amp; Corrugated Fill'!$J$140:$J$143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gpd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Plant power by component (kW)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'Pumping &amp; Fan Hydraulics'!C39</f>
            </strRef>
          </tx>
          <spPr>
            <a:ln>
              <a:prstDash val="solid"/>
            </a:ln>
          </spPr>
          <cat>
            <numRef>
              <f>'Pumping &amp; Fan Hydraulics'!$B$40:$B$43</f>
            </numRef>
          </cat>
          <val>
            <numRef>
              <f>'Pumping &amp; Fan Hydraulics'!$C$40:$C$43</f>
            </numRef>
          </val>
        </ser>
        <ser>
          <idx val="1"/>
          <order val="1"/>
          <tx>
            <strRef>
              <f>'Pumping &amp; Fan Hydraulics'!D39</f>
            </strRef>
          </tx>
          <spPr>
            <a:ln>
              <a:prstDash val="solid"/>
            </a:ln>
          </spPr>
          <cat>
            <numRef>
              <f>'Pumping &amp; Fan Hydraulics'!$B$40:$B$43</f>
            </numRef>
          </cat>
          <val>
            <numRef>
              <f>'Pumping &amp; Fan Hydraulics'!$D$40:$D$43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kW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Cumulative discounted cash flow</a:t>
            </a:r>
          </a:p>
        </rich>
      </tx>
    </title>
    <plotArea>
      <lineChart>
        <grouping val="standard"/>
        <ser>
          <idx val="0"/>
          <order val="0"/>
          <tx>
            <strRef>
              <f>'Financial &amp; LCC Analysis'!F62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'Financial &amp; LCC Analysis'!$B$63:$B$73</f>
            </numRef>
          </cat>
          <val>
            <numRef>
              <f>'Financial &amp; LCC Analysis'!$F$63:$F$73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Annual savings by year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 &amp; LCC Analysis'!C63</f>
            </strRef>
          </tx>
          <spPr>
            <a:ln>
              <a:prstDash val="solid"/>
            </a:ln>
          </spPr>
          <cat>
            <numRef>
              <f>'Financial &amp; LCC Analysis'!$B$64:$B$73</f>
            </numRef>
          </cat>
          <val>
            <numRef>
              <f>'Financial &amp; LCC Analysis'!$C$64:$C$73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3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4.xml" Id="rId1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04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504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144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18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7</col>
      <colOff>0</colOff>
      <row>4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21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B1:G76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4" customWidth="1" min="3" max="3"/>
    <col width="26" customWidth="1" min="4" max="4"/>
    <col width="16" customWidth="1" min="5" max="5"/>
    <col width="22" customWidth="1" min="6" max="6"/>
  </cols>
  <sheetData>
    <row r="1">
      <c r="B1" s="1" t="inlineStr">
        <is>
          <t>Data Center Cooling Water Management — M&amp;E Dashboard</t>
        </is>
      </c>
    </row>
    <row r="2">
      <c r="B2" s="2" t="inlineStr">
        <is>
          <t>50 MW IT design case · US customary units · yellow = input, green = live formula</t>
        </is>
      </c>
    </row>
    <row r="5">
      <c r="B5" s="3" t="inlineStr">
        <is>
          <t>Scenario &amp; source controls</t>
        </is>
      </c>
      <c r="C5" s="4" t="n"/>
      <c r="D5" s="4" t="n"/>
      <c r="E5" s="4" t="n"/>
      <c r="F5" s="4" t="n"/>
      <c r="G5" s="4" t="n"/>
    </row>
    <row r="6">
      <c r="B6" s="5" t="inlineStr">
        <is>
          <t>Water source</t>
        </is>
      </c>
      <c r="C6" s="6" t="inlineStr">
        <is>
          <t>Municipal Potable</t>
        </is>
      </c>
      <c r="D6" s="7" t="inlineStr"/>
      <c r="E6" s="8" t="inlineStr">
        <is>
          <t>Dropdown — pulls Source Library column</t>
        </is>
      </c>
    </row>
    <row r="7">
      <c r="B7" s="5" t="inlineStr">
        <is>
          <t>Active scenario (Mass Balance view)</t>
        </is>
      </c>
      <c r="C7" s="6" t="inlineStr">
        <is>
          <t>Corrugated Fill + High CoC</t>
        </is>
      </c>
      <c r="D7" s="7" t="inlineStr"/>
      <c r="E7" s="8" t="inlineStr">
        <is>
          <t>Dropdown — drives the Process Flow Mass Balance sheet</t>
        </is>
      </c>
    </row>
    <row r="8">
      <c r="B8" s="5" t="inlineStr">
        <is>
          <t>IT load</t>
        </is>
      </c>
      <c r="C8" s="9" t="n">
        <v>50</v>
      </c>
      <c r="D8" s="7" t="inlineStr">
        <is>
          <t>MW</t>
        </is>
      </c>
    </row>
    <row r="9">
      <c r="B9" s="5" t="inlineStr">
        <is>
          <t>Design wet-bulb temperature</t>
        </is>
      </c>
      <c r="C9" s="9" t="n">
        <v>76</v>
      </c>
      <c r="D9" s="7" t="inlineStr">
        <is>
          <t>°F</t>
        </is>
      </c>
    </row>
    <row r="10">
      <c r="B10" s="5" t="inlineStr">
        <is>
          <t>Average IT utilization</t>
        </is>
      </c>
      <c r="C10" s="10" t="n">
        <v>0.8</v>
      </c>
      <c r="D10" s="7" t="inlineStr">
        <is>
          <t>-</t>
        </is>
      </c>
    </row>
    <row r="11">
      <c r="B11" s="5" t="inlineStr">
        <is>
          <t>RO / IX demineralization on (1/0)</t>
        </is>
      </c>
      <c r="C11" s="6" t="n">
        <v>0</v>
      </c>
      <c r="D11" s="7" t="inlineStr">
        <is>
          <t>-</t>
        </is>
      </c>
      <c r="E11" s="8" t="inlineStr">
        <is>
          <t>Skippable demineralization step</t>
        </is>
      </c>
    </row>
    <row r="13">
      <c r="B13" s="3" t="inlineStr">
        <is>
          <t>Scenario levers</t>
        </is>
      </c>
      <c r="C13" s="4" t="n"/>
      <c r="D13" s="4" t="n"/>
      <c r="E13" s="4" t="n"/>
      <c r="F13" s="4" t="n"/>
      <c r="G13" s="4" t="n"/>
    </row>
    <row r="14">
      <c r="B14" s="11" t="inlineStr">
        <is>
          <t>Lever</t>
        </is>
      </c>
      <c r="C14" s="11" t="inlineStr">
        <is>
          <t>Current Baseline</t>
        </is>
      </c>
      <c r="D14" s="11" t="inlineStr">
        <is>
          <t>Corrugated Fill + High CoC</t>
        </is>
      </c>
      <c r="E14" s="11" t="inlineStr">
        <is>
          <t>Unit</t>
        </is>
      </c>
    </row>
    <row r="15">
      <c r="B15" s="5" t="inlineStr">
        <is>
          <t>Target cycles of concentration (2–10)</t>
        </is>
      </c>
      <c r="C15" s="9" t="n">
        <v>4</v>
      </c>
      <c r="D15" s="9" t="n">
        <v>10</v>
      </c>
      <c r="E15" s="7" t="inlineStr">
        <is>
          <t>cycles</t>
        </is>
      </c>
      <c r="F15" s="8" t="inlineStr">
        <is>
          <t>Clipped by LEED/LSI/drift limits</t>
        </is>
      </c>
    </row>
    <row r="16">
      <c r="B16" s="5" t="inlineStr">
        <is>
          <t>Blowdown recovery RO on (1/0)</t>
        </is>
      </c>
      <c r="C16" s="6" t="n">
        <v>0</v>
      </c>
      <c r="D16" s="6" t="n">
        <v>1</v>
      </c>
      <c r="E16" s="7" t="inlineStr">
        <is>
          <t>-</t>
        </is>
      </c>
    </row>
    <row r="18">
      <c r="B18" s="3" t="inlineStr">
        <is>
          <t>Key performance indicators</t>
        </is>
      </c>
      <c r="C18" s="4" t="n"/>
      <c r="D18" s="4" t="n"/>
      <c r="E18" s="4" t="n"/>
      <c r="F18" s="4" t="n"/>
      <c r="G18" s="4" t="n"/>
    </row>
    <row r="19">
      <c r="B19" s="11" t="inlineStr">
        <is>
          <t>KPI</t>
        </is>
      </c>
      <c r="C19" s="11" t="inlineStr">
        <is>
          <t>Current Baseline</t>
        </is>
      </c>
      <c r="D19" s="11" t="inlineStr">
        <is>
          <t>Optimized</t>
        </is>
      </c>
      <c r="E19" s="11" t="inlineStr">
        <is>
          <t>Δ (Opt − Base)</t>
        </is>
      </c>
      <c r="F19" s="11" t="inlineStr">
        <is>
          <t>Unit</t>
        </is>
      </c>
    </row>
    <row r="20">
      <c r="B20" s="5" t="inlineStr">
        <is>
          <t>Cooling load</t>
        </is>
      </c>
      <c r="C20" s="12">
        <f>'Cooling Tower &amp; Corrugated Fill'!$C$46</f>
        <v/>
      </c>
      <c r="D20" s="12">
        <f>'Cooling Tower &amp; Corrugated Fill'!$D$46</f>
        <v/>
      </c>
      <c r="E20" s="12">
        <f>D20-C20</f>
        <v/>
      </c>
      <c r="F20" s="7" t="inlineStr">
        <is>
          <t>MW</t>
        </is>
      </c>
    </row>
    <row r="21">
      <c r="B21" s="5" t="inlineStr">
        <is>
          <t>Cooling load</t>
        </is>
      </c>
      <c r="C21" s="13">
        <f>'Cooling Tower &amp; Corrugated Fill'!$C$47</f>
        <v/>
      </c>
      <c r="D21" s="13">
        <f>'Cooling Tower &amp; Corrugated Fill'!$D$47</f>
        <v/>
      </c>
      <c r="E21" s="13">
        <f>D21-C21</f>
        <v/>
      </c>
      <c r="F21" s="7" t="inlineStr">
        <is>
          <t>tons</t>
        </is>
      </c>
    </row>
    <row r="22">
      <c r="B22" s="5" t="inlineStr">
        <is>
          <t>Tower heat-rejection load</t>
        </is>
      </c>
      <c r="C22" s="13">
        <f>'Cooling Tower &amp; Corrugated Fill'!$C$57</f>
        <v/>
      </c>
      <c r="D22" s="13">
        <f>'Cooling Tower &amp; Corrugated Fill'!$D$57</f>
        <v/>
      </c>
      <c r="E22" s="13">
        <f>D22-C22</f>
        <v/>
      </c>
      <c r="F22" s="7" t="inlineStr">
        <is>
          <t>tons</t>
        </is>
      </c>
    </row>
    <row r="23">
      <c r="B23" s="5" t="inlineStr">
        <is>
          <t>Chiller COP</t>
        </is>
      </c>
      <c r="C23" s="12">
        <f>'Cooling Tower &amp; Corrugated Fill'!$C$54</f>
        <v/>
      </c>
      <c r="D23" s="12">
        <f>'Cooling Tower &amp; Corrugated Fill'!$D$54</f>
        <v/>
      </c>
      <c r="E23" s="12">
        <f>D23-C23</f>
        <v/>
      </c>
      <c r="F23" s="7" t="inlineStr">
        <is>
          <t>-</t>
        </is>
      </c>
    </row>
    <row r="24">
      <c r="B24" s="5" t="inlineStr">
        <is>
          <t>Tower approach</t>
        </is>
      </c>
      <c r="C24" s="12">
        <f>'Cooling Tower &amp; Corrugated Fill'!$C$50</f>
        <v/>
      </c>
      <c r="D24" s="12">
        <f>'Cooling Tower &amp; Corrugated Fill'!$D$50</f>
        <v/>
      </c>
      <c r="E24" s="12">
        <f>D24-C24</f>
        <v/>
      </c>
      <c r="F24" s="7" t="inlineStr">
        <is>
          <t>°F</t>
        </is>
      </c>
    </row>
    <row r="25">
      <c r="B25" s="5" t="inlineStr">
        <is>
          <t>Cycles of concentration (operating)</t>
        </is>
      </c>
      <c r="C25" s="12">
        <f>'Cooling Tower &amp; Corrugated Fill'!$C$75</f>
        <v/>
      </c>
      <c r="D25" s="12">
        <f>'Cooling Tower &amp; Corrugated Fill'!$D$75</f>
        <v/>
      </c>
      <c r="E25" s="12">
        <f>D25-C25</f>
        <v/>
      </c>
      <c r="F25" s="7" t="inlineStr">
        <is>
          <t>cycles</t>
        </is>
      </c>
    </row>
    <row r="26">
      <c r="B26" s="5" t="inlineStr">
        <is>
          <t>Raw water intake</t>
        </is>
      </c>
      <c r="C26" s="13">
        <f>'Cooling Tower &amp; Corrugated Fill'!$C$86</f>
        <v/>
      </c>
      <c r="D26" s="13">
        <f>'Cooling Tower &amp; Corrugated Fill'!$D$86</f>
        <v/>
      </c>
      <c r="E26" s="13">
        <f>D26-C26</f>
        <v/>
      </c>
      <c r="F26" s="7" t="inlineStr">
        <is>
          <t>gpd</t>
        </is>
      </c>
    </row>
    <row r="27">
      <c r="B27" s="5" t="inlineStr">
        <is>
          <t>Raw water intake</t>
        </is>
      </c>
      <c r="C27" s="13">
        <f>'Cooling Tower &amp; Corrugated Fill'!$C$87</f>
        <v/>
      </c>
      <c r="D27" s="13">
        <f>'Cooling Tower &amp; Corrugated Fill'!$D$87</f>
        <v/>
      </c>
      <c r="E27" s="13">
        <f>D27-C27</f>
        <v/>
      </c>
      <c r="F27" s="7" t="inlineStr">
        <is>
          <t>m³/d</t>
        </is>
      </c>
    </row>
    <row r="28">
      <c r="B28" s="5" t="inlineStr">
        <is>
          <t>Evaporation loss</t>
        </is>
      </c>
      <c r="C28" s="13">
        <f>'Cooling Tower &amp; Corrugated Fill'!$C$60</f>
        <v/>
      </c>
      <c r="D28" s="13">
        <f>'Cooling Tower &amp; Corrugated Fill'!$D$60</f>
        <v/>
      </c>
      <c r="E28" s="13">
        <f>D28-C28</f>
        <v/>
      </c>
      <c r="F28" s="7" t="inlineStr">
        <is>
          <t>gpd</t>
        </is>
      </c>
    </row>
    <row r="29">
      <c r="B29" s="5" t="inlineStr">
        <is>
          <t>Drift loss</t>
        </is>
      </c>
      <c r="C29" s="13">
        <f>'Cooling Tower &amp; Corrugated Fill'!$C$61</f>
        <v/>
      </c>
      <c r="D29" s="13">
        <f>'Cooling Tower &amp; Corrugated Fill'!$D$61</f>
        <v/>
      </c>
      <c r="E29" s="13">
        <f>D29-C29</f>
        <v/>
      </c>
      <c r="F29" s="7" t="inlineStr">
        <is>
          <t>gpd</t>
        </is>
      </c>
    </row>
    <row r="30">
      <c r="B30" s="5" t="inlineStr">
        <is>
          <t>Blowdown (bleed-off)</t>
        </is>
      </c>
      <c r="C30" s="13">
        <f>'Cooling Tower &amp; Corrugated Fill'!$C$80</f>
        <v/>
      </c>
      <c r="D30" s="13">
        <f>'Cooling Tower &amp; Corrugated Fill'!$D$80</f>
        <v/>
      </c>
      <c r="E30" s="13">
        <f>D30-C30</f>
        <v/>
      </c>
      <c r="F30" s="7" t="inlineStr">
        <is>
          <t>gpd</t>
        </is>
      </c>
    </row>
    <row r="31">
      <c r="B31" s="5" t="inlineStr">
        <is>
          <t>Total discharge to sewer</t>
        </is>
      </c>
      <c r="C31" s="13">
        <f>'Cooling Tower &amp; Corrugated Fill'!$C$89</f>
        <v/>
      </c>
      <c r="D31" s="13">
        <f>'Cooling Tower &amp; Corrugated Fill'!$D$89</f>
        <v/>
      </c>
      <c r="E31" s="13">
        <f>D31-C31</f>
        <v/>
      </c>
      <c r="F31" s="7" t="inlineStr">
        <is>
          <t>gpd</t>
        </is>
      </c>
    </row>
    <row r="32">
      <c r="B32" s="5" t="inlineStr">
        <is>
          <t>WUE (water usage effectiveness)</t>
        </is>
      </c>
      <c r="C32" s="14">
        <f>'Cooling Tower &amp; Corrugated Fill'!$C$90</f>
        <v/>
      </c>
      <c r="D32" s="14">
        <f>'Cooling Tower &amp; Corrugated Fill'!$D$90</f>
        <v/>
      </c>
      <c r="E32" s="14">
        <f>D32-C32</f>
        <v/>
      </c>
      <c r="F32" s="7" t="inlineStr">
        <is>
          <t>L/kWh IT</t>
        </is>
      </c>
    </row>
    <row r="33">
      <c r="B33" s="5" t="inlineStr">
        <is>
          <t>Cooling + water plant power</t>
        </is>
      </c>
      <c r="C33" s="13">
        <f>'Pumping &amp; Fan Hydraulics'!$C$47</f>
        <v/>
      </c>
      <c r="D33" s="13">
        <f>'Pumping &amp; Fan Hydraulics'!$D$47</f>
        <v/>
      </c>
      <c r="E33" s="13">
        <f>D33-C33</f>
        <v/>
      </c>
      <c r="F33" s="7" t="inlineStr">
        <is>
          <t>kW</t>
        </is>
      </c>
    </row>
    <row r="34">
      <c r="B34" s="5" t="inlineStr">
        <is>
          <t>Cooling share of PUE</t>
        </is>
      </c>
      <c r="C34" s="14">
        <f>'Pumping &amp; Fan Hydraulics'!$C$48</f>
        <v/>
      </c>
      <c r="D34" s="14">
        <f>'Pumping &amp; Fan Hydraulics'!$D$48</f>
        <v/>
      </c>
      <c r="E34" s="14">
        <f>D34-C34</f>
        <v/>
      </c>
      <c r="F34" s="7" t="inlineStr">
        <is>
          <t>-</t>
        </is>
      </c>
    </row>
    <row r="35">
      <c r="B35" s="5" t="inlineStr">
        <is>
          <t>PUE (incl. other overhead)</t>
        </is>
      </c>
      <c r="C35" s="14">
        <f>'Pumping &amp; Fan Hydraulics'!$C$49</f>
        <v/>
      </c>
      <c r="D35" s="14">
        <f>'Pumping &amp; Fan Hydraulics'!$D$49</f>
        <v/>
      </c>
      <c r="E35" s="14">
        <f>D35-C35</f>
        <v/>
      </c>
      <c r="F35" s="7" t="inlineStr">
        <is>
          <t>-</t>
        </is>
      </c>
    </row>
    <row r="36">
      <c r="B36" s="5" t="inlineStr">
        <is>
          <t>Water-system energy intensity</t>
        </is>
      </c>
      <c r="C36" s="14">
        <f>'Pumping &amp; Fan Hydraulics'!$C$50</f>
        <v/>
      </c>
      <c r="D36" s="14">
        <f>'Pumping &amp; Fan Hydraulics'!$D$50</f>
        <v/>
      </c>
      <c r="E36" s="14">
        <f>D36-C36</f>
        <v/>
      </c>
      <c r="F36" s="7" t="inlineStr">
        <is>
          <t>kWh/m³</t>
        </is>
      </c>
    </row>
    <row r="37">
      <c r="B37" s="5" t="inlineStr">
        <is>
          <t>Annual operating cost (incl. carbon)</t>
        </is>
      </c>
      <c r="C37" s="15">
        <f>'Financial &amp; LCC Analysis'!$C$51</f>
        <v/>
      </c>
      <c r="D37" s="15">
        <f>'Financial &amp; LCC Analysis'!$D$51</f>
        <v/>
      </c>
      <c r="E37" s="15">
        <f>D37-C37</f>
        <v/>
      </c>
      <c r="F37" s="7" t="inlineStr">
        <is>
          <t>$/yr</t>
        </is>
      </c>
    </row>
    <row r="38">
      <c r="B38" s="5" t="inlineStr">
        <is>
          <t>CO₂e emissions</t>
        </is>
      </c>
      <c r="C38" s="13">
        <f>'Financial &amp; LCC Analysis'!$C$41</f>
        <v/>
      </c>
      <c r="D38" s="13">
        <f>'Financial &amp; LCC Analysis'!$D$41</f>
        <v/>
      </c>
      <c r="E38" s="13">
        <f>D38-C38</f>
        <v/>
      </c>
      <c r="F38" s="7" t="inlineStr">
        <is>
          <t>t/yr</t>
        </is>
      </c>
    </row>
    <row r="39">
      <c r="B39" s="5" t="inlineStr">
        <is>
          <t>LEED v4 WE cooling-tower points</t>
        </is>
      </c>
      <c r="C39" s="13">
        <f>'Cooling Tower &amp; Corrugated Fill'!$C$125</f>
        <v/>
      </c>
      <c r="D39" s="13">
        <f>'Cooling Tower &amp; Corrugated Fill'!$D$125</f>
        <v/>
      </c>
      <c r="E39" s="13">
        <f>D39-C39</f>
        <v/>
      </c>
      <c r="F39" s="7" t="inlineStr">
        <is>
          <t>pts</t>
        </is>
      </c>
    </row>
    <row r="40">
      <c r="B40" s="5" t="inlineStr">
        <is>
          <t>Legionella annual inhalation risk</t>
        </is>
      </c>
      <c r="C40" s="16">
        <f>'Disinfection &amp; Microbial Risk'!$C$68</f>
        <v/>
      </c>
      <c r="D40" s="16">
        <f>'Disinfection &amp; Microbial Risk'!$D$68</f>
        <v/>
      </c>
      <c r="E40" s="16">
        <f>D40-C40</f>
        <v/>
      </c>
      <c r="F40" s="7" t="inlineStr">
        <is>
          <t>per yr</t>
        </is>
      </c>
    </row>
    <row r="42">
      <c r="B42" s="3" t="inlineStr">
        <is>
          <t>Compliance &amp; engineering checks</t>
        </is>
      </c>
      <c r="C42" s="4" t="n"/>
      <c r="D42" s="4" t="n"/>
      <c r="E42" s="4" t="n"/>
      <c r="F42" s="4" t="n"/>
      <c r="G42" s="4" t="n"/>
    </row>
    <row r="43">
      <c r="B43" s="11" t="inlineStr">
        <is>
          <t>Check</t>
        </is>
      </c>
      <c r="C43" s="11" t="inlineStr">
        <is>
          <t>Current Baseline</t>
        </is>
      </c>
      <c r="D43" s="11" t="inlineStr">
        <is>
          <t>Optimized</t>
        </is>
      </c>
      <c r="E43" s="11" t="inlineStr"/>
      <c r="F43" s="11" t="inlineStr">
        <is>
          <t>Basis</t>
        </is>
      </c>
    </row>
    <row r="44">
      <c r="B44" s="5" t="inlineStr">
        <is>
          <t>CoC limiting constraint</t>
        </is>
      </c>
      <c r="C44" s="17">
        <f>"Limited by "&amp;'Cooling Tower &amp; Corrugated Fill'!$C$74</f>
        <v/>
      </c>
      <c r="D44" s="17">
        <f>"Limited by "&amp;'Cooling Tower &amp; Corrugated Fill'!$D$74</f>
        <v/>
      </c>
      <c r="F44" s="8" t="inlineStr">
        <is>
          <t>LEED / LSI / drift / target</t>
        </is>
      </c>
    </row>
    <row r="45">
      <c r="B45" s="5" t="inlineStr">
        <is>
          <t>CoC feasible with this source</t>
        </is>
      </c>
      <c r="C45" s="17">
        <f>IF('Cooling Tower &amp; Corrugated Fill'!$C$73&gt;='Cooling Tower &amp; Corrugated Fill'!$C$15,"✅ Feasible","❌ Enable RO/IX")</f>
        <v/>
      </c>
      <c r="D45" s="17">
        <f>IF('Cooling Tower &amp; Corrugated Fill'!$D$73&gt;='Cooling Tower &amp; Corrugated Fill'!$C$15,"✅ Feasible","❌ Enable RO/IX")</f>
        <v/>
      </c>
      <c r="F45" s="8" t="inlineStr">
        <is>
          <t>≥ min CoC</t>
        </is>
      </c>
    </row>
    <row r="46">
      <c r="B46" s="5" t="inlineStr">
        <is>
          <t>Recirc silica</t>
        </is>
      </c>
      <c r="C46" s="17">
        <f>IF('Cooling Tower &amp; Corrugated Fill'!$F$97&gt;'Cooling Tower &amp; Corrugated Fill'!$C$18,"❌ Blowdown alert","✅ "&amp;TEXT('Cooling Tower &amp; Corrugated Fill'!$F$97,"0")&amp;" mg/L")</f>
        <v/>
      </c>
      <c r="D46" s="17">
        <f>IF('Cooling Tower &amp; Corrugated Fill'!$K$97&gt;'Cooling Tower &amp; Corrugated Fill'!$C$18,"❌ Blowdown alert","✅ "&amp;TEXT('Cooling Tower &amp; Corrugated Fill'!$K$97,"0")&amp;" mg/L")</f>
        <v/>
      </c>
      <c r="F46" s="8" t="inlineStr">
        <is>
          <t>&gt;150 mg/L alert</t>
        </is>
      </c>
    </row>
    <row r="47">
      <c r="B47" s="5" t="inlineStr">
        <is>
          <t>Recirc LSI (hot water)</t>
        </is>
      </c>
      <c r="C47" s="17">
        <f>IF('Cooling Tower &amp; Corrugated Fill'!$C$117&gt;'Cooling Tower &amp; Corrugated Fill'!$C$16,"❌ ","✅ ")&amp;TEXT('Cooling Tower &amp; Corrugated Fill'!$C$117,"0.00")</f>
        <v/>
      </c>
      <c r="D47" s="17">
        <f>IF('Cooling Tower &amp; Corrugated Fill'!$D$117&gt;'Cooling Tower &amp; Corrugated Fill'!$C$16,"❌ ","✅ ")&amp;TEXT('Cooling Tower &amp; Corrugated Fill'!$D$117,"0.00")</f>
        <v/>
      </c>
      <c r="F47" s="8" t="inlineStr">
        <is>
          <t>≤ inhibitor ceiling</t>
        </is>
      </c>
    </row>
    <row r="48">
      <c r="B48" s="5" t="inlineStr">
        <is>
          <t>LEED condenser limits</t>
        </is>
      </c>
      <c r="C48" s="17">
        <f>IF('Cooling Tower &amp; Corrugated Fill'!$C$122=1,"✅ All within","❌ Exceeded")</f>
        <v/>
      </c>
      <c r="D48" s="17">
        <f>IF('Cooling Tower &amp; Corrugated Fill'!$D$122=1,"✅ All within","❌ Exceeded")</f>
        <v/>
      </c>
      <c r="F48" s="8" t="inlineStr">
        <is>
          <t>LEED v4 Table 1</t>
        </is>
      </c>
    </row>
    <row r="49">
      <c r="B49" s="5" t="inlineStr">
        <is>
          <t>Legionella Py ≤ target</t>
        </is>
      </c>
      <c r="C49" s="17">
        <f>IF('Disinfection &amp; Microbial Risk'!$C$68&lt;='Disinfection &amp; Microbial Risk'!$C$41,"✅ ","❌ ")&amp;TEXT('Disinfection &amp; Microbial Risk'!$C$68,"0.0E+00")</f>
        <v/>
      </c>
      <c r="D49" s="17">
        <f>IF('Disinfection &amp; Microbial Risk'!$D$68&lt;='Disinfection &amp; Microbial Risk'!$C$41,"✅ ","❌ ")&amp;TEXT('Disinfection &amp; Microbial Risk'!$D$68,"0.0E+00")</f>
        <v/>
      </c>
      <c r="F49" s="8" t="inlineStr">
        <is>
          <t>1e-4 /yr</t>
        </is>
      </c>
    </row>
    <row r="50">
      <c r="B50" s="5" t="inlineStr">
        <is>
          <t>Ingestion QMRA (all pathogens)</t>
        </is>
      </c>
      <c r="C50" s="17">
        <f>IF('Disinfection &amp; Microbial Risk'!$C$52=1,"✅ Py ≤ target","❌ LRV &lt; LRT")</f>
        <v/>
      </c>
      <c r="D50" s="17">
        <f>IF('Disinfection &amp; Microbial Risk'!$D$52=1,"✅ Py ≤ target","❌ LRV &lt; LRT")</f>
        <v/>
      </c>
      <c r="F50" s="8" t="inlineStr">
        <is>
          <t>Beta-Poisson / exp.</t>
        </is>
      </c>
    </row>
    <row r="51">
      <c r="B51" s="5" t="inlineStr">
        <is>
          <t>Pumps in HI 9.6.3 POR</t>
        </is>
      </c>
      <c r="C51" s="17">
        <f>IF('Pumping &amp; Fan Hydraulics'!$C$51=1,"✅ In POR","❌ Outside POR")</f>
        <v/>
      </c>
      <c r="D51" s="17">
        <f>IF('Pumping &amp; Fan Hydraulics'!$D$51=1,"✅ In POR","❌ Outside POR")</f>
        <v/>
      </c>
      <c r="F51" s="8" t="inlineStr">
        <is>
          <t>0.7–1.2 × Q_BEP</t>
        </is>
      </c>
    </row>
    <row r="52">
      <c r="B52" s="5" t="inlineStr">
        <is>
          <t>System water balance closes</t>
        </is>
      </c>
      <c r="C52" s="17">
        <f>IF(ABS('Cooling Tower &amp; Corrugated Fill'!$C$86-'Cooling Tower &amp; Corrugated Fill'!$C$60-'Cooling Tower &amp; Corrugated Fill'!$C$61-'Cooling Tower &amp; Corrugated Fill'!$C$89)&lt;1,"✅ Closed","❌ Error")</f>
        <v/>
      </c>
      <c r="D52" s="17">
        <f>IF(ABS('Cooling Tower &amp; Corrugated Fill'!$D$86-'Cooling Tower &amp; Corrugated Fill'!$D$60-'Cooling Tower &amp; Corrugated Fill'!$D$61-'Cooling Tower &amp; Corrugated Fill'!$D$89)&lt;1,"✅ Closed","❌ Error")</f>
        <v/>
      </c>
      <c r="F52" s="8" t="inlineStr">
        <is>
          <t>Intake = E + D + sewer</t>
        </is>
      </c>
    </row>
    <row r="54">
      <c r="B54" s="3" t="inlineStr">
        <is>
          <t>Upgrade investment (Baseline → Optimized)</t>
        </is>
      </c>
      <c r="C54" s="4" t="n"/>
      <c r="D54" s="4" t="n"/>
      <c r="E54" s="4" t="n"/>
      <c r="F54" s="4" t="n"/>
      <c r="G54" s="4" t="n"/>
    </row>
    <row r="55">
      <c r="B55" s="5" t="inlineStr">
        <is>
          <t>CapEx (fill + eliminators + BD-RO + install)</t>
        </is>
      </c>
      <c r="C55" s="15">
        <f>'Financial &amp; LCC Analysis'!$C$59</f>
        <v/>
      </c>
      <c r="D55" s="7" t="inlineStr">
        <is>
          <t>$</t>
        </is>
      </c>
    </row>
    <row r="56">
      <c r="B56" s="5" t="inlineStr">
        <is>
          <t>Year-1 net operating savings</t>
        </is>
      </c>
      <c r="C56" s="15">
        <f>'Financial &amp; LCC Analysis'!$C$52</f>
        <v/>
      </c>
      <c r="D56" s="7" t="inlineStr">
        <is>
          <t>$/yr</t>
        </is>
      </c>
    </row>
    <row r="57">
      <c r="B57" s="5" t="inlineStr">
        <is>
          <t>NPV</t>
        </is>
      </c>
      <c r="C57" s="15">
        <f>'Financial &amp; LCC Analysis'!$C$75</f>
        <v/>
      </c>
      <c r="D57" s="7" t="inlineStr">
        <is>
          <t>$</t>
        </is>
      </c>
    </row>
    <row r="58">
      <c r="B58" s="5" t="inlineStr">
        <is>
          <t>IRR</t>
        </is>
      </c>
      <c r="C58" s="18">
        <f>'Financial &amp; LCC Analysis'!$C$77</f>
        <v/>
      </c>
      <c r="D58" s="7" t="inlineStr">
        <is>
          <t>-</t>
        </is>
      </c>
    </row>
    <row r="59">
      <c r="B59" s="5" t="inlineStr">
        <is>
          <t>Discounted break-even (BEP)</t>
        </is>
      </c>
      <c r="C59" s="12">
        <f>'Financial &amp; LCC Analysis'!$C$78</f>
        <v/>
      </c>
      <c r="D59" s="7" t="inlineStr">
        <is>
          <t>years</t>
        </is>
      </c>
    </row>
    <row r="60">
      <c r="B60" s="5" t="inlineStr">
        <is>
          <t>Simple payback (SPBT)</t>
        </is>
      </c>
      <c r="C60" s="12">
        <f>'Financial &amp; LCC Analysis'!$C$79</f>
        <v/>
      </c>
      <c r="D60" s="7" t="inlineStr">
        <is>
          <t>years</t>
        </is>
      </c>
    </row>
    <row r="62">
      <c r="B62" s="3" t="inlineStr">
        <is>
          <t>Water losses breakdown</t>
        </is>
      </c>
      <c r="C62" s="4" t="n"/>
      <c r="D62" s="4" t="n"/>
      <c r="E62" s="4" t="n"/>
      <c r="F62" s="4" t="n"/>
      <c r="G62" s="4" t="n"/>
    </row>
    <row r="63">
      <c r="B63" s="11" t="inlineStr">
        <is>
          <t>Stream</t>
        </is>
      </c>
      <c r="C63" s="11" t="inlineStr">
        <is>
          <t>Current Baseline</t>
        </is>
      </c>
      <c r="D63" s="11" t="inlineStr">
        <is>
          <t>Optimized</t>
        </is>
      </c>
      <c r="E63" s="11" t="inlineStr"/>
      <c r="F63" s="11" t="inlineStr">
        <is>
          <t>Unit</t>
        </is>
      </c>
    </row>
    <row r="64">
      <c r="B64" s="5" t="inlineStr">
        <is>
          <t>Evaporation</t>
        </is>
      </c>
      <c r="C64" s="13">
        <f>'Cooling Tower &amp; Corrugated Fill'!$C$60</f>
        <v/>
      </c>
      <c r="D64" s="13">
        <f>'Cooling Tower &amp; Corrugated Fill'!$D$60</f>
        <v/>
      </c>
      <c r="F64" s="7" t="inlineStr">
        <is>
          <t>gpd</t>
        </is>
      </c>
    </row>
    <row r="65">
      <c r="B65" s="5" t="inlineStr">
        <is>
          <t>Drift</t>
        </is>
      </c>
      <c r="C65" s="13">
        <f>'Cooling Tower &amp; Corrugated Fill'!$C$61</f>
        <v/>
      </c>
      <c r="D65" s="13">
        <f>'Cooling Tower &amp; Corrugated Fill'!$D$61</f>
        <v/>
      </c>
      <c r="F65" s="7" t="inlineStr">
        <is>
          <t>gpd</t>
        </is>
      </c>
    </row>
    <row r="66">
      <c r="B66" s="5" t="inlineStr">
        <is>
          <t>Blowdown / brine to sewer</t>
        </is>
      </c>
      <c r="C66" s="13">
        <f>'Cooling Tower &amp; Corrugated Fill'!$C$83</f>
        <v/>
      </c>
      <c r="D66" s="13">
        <f>'Cooling Tower &amp; Corrugated Fill'!$D$83</f>
        <v/>
      </c>
      <c r="F66" s="7" t="inlineStr">
        <is>
          <t>gpd</t>
        </is>
      </c>
    </row>
    <row r="67">
      <c r="B67" s="5" t="inlineStr">
        <is>
          <t>Treatment rejects</t>
        </is>
      </c>
      <c r="C67" s="13">
        <f>'Cooling Tower &amp; Corrugated Fill'!$C$88</f>
        <v/>
      </c>
      <c r="D67" s="13">
        <f>'Cooling Tower &amp; Corrugated Fill'!$D$88</f>
        <v/>
      </c>
      <c r="F67" s="7" t="inlineStr">
        <is>
          <t>gpd</t>
        </is>
      </c>
    </row>
    <row r="69">
      <c r="B69" s="3" t="inlineStr">
        <is>
          <t>Annual cost breakdown</t>
        </is>
      </c>
      <c r="C69" s="4" t="n"/>
      <c r="D69" s="4" t="n"/>
      <c r="E69" s="4" t="n"/>
      <c r="F69" s="4" t="n"/>
      <c r="G69" s="4" t="n"/>
    </row>
    <row r="70">
      <c r="B70" s="11" t="inlineStr">
        <is>
          <t>Cost item</t>
        </is>
      </c>
      <c r="C70" s="11" t="inlineStr">
        <is>
          <t>Current Baseline</t>
        </is>
      </c>
      <c r="D70" s="11" t="inlineStr">
        <is>
          <t>Optimized</t>
        </is>
      </c>
      <c r="E70" s="11" t="inlineStr"/>
      <c r="F70" s="11" t="inlineStr">
        <is>
          <t>Unit</t>
        </is>
      </c>
    </row>
    <row r="71">
      <c r="B71" s="5" t="inlineStr">
        <is>
          <t>Water purchase</t>
        </is>
      </c>
      <c r="C71" s="15">
        <f>'Financial &amp; LCC Analysis'!$C$45</f>
        <v/>
      </c>
      <c r="D71" s="15">
        <f>'Financial &amp; LCC Analysis'!$D$45</f>
        <v/>
      </c>
      <c r="F71" s="7" t="inlineStr">
        <is>
          <t>$/yr</t>
        </is>
      </c>
    </row>
    <row r="72">
      <c r="B72" s="5" t="inlineStr">
        <is>
          <t>Sewer</t>
        </is>
      </c>
      <c r="C72" s="15">
        <f>'Financial &amp; LCC Analysis'!$C$46</f>
        <v/>
      </c>
      <c r="D72" s="15">
        <f>'Financial &amp; LCC Analysis'!$D$46</f>
        <v/>
      </c>
      <c r="F72" s="7" t="inlineStr">
        <is>
          <t>$/yr</t>
        </is>
      </c>
    </row>
    <row r="73">
      <c r="B73" s="5" t="inlineStr">
        <is>
          <t>Electricity</t>
        </is>
      </c>
      <c r="C73" s="15">
        <f>'Financial &amp; LCC Analysis'!$C$47</f>
        <v/>
      </c>
      <c r="D73" s="15">
        <f>'Financial &amp; LCC Analysis'!$D$47</f>
        <v/>
      </c>
      <c r="F73" s="7" t="inlineStr">
        <is>
          <t>$/yr</t>
        </is>
      </c>
    </row>
    <row r="74">
      <c r="B74" s="5" t="inlineStr">
        <is>
          <t>Chemicals</t>
        </is>
      </c>
      <c r="C74" s="15">
        <f>'Financial &amp; LCC Analysis'!$C$48</f>
        <v/>
      </c>
      <c r="D74" s="15">
        <f>'Financial &amp; LCC Analysis'!$D$48</f>
        <v/>
      </c>
      <c r="F74" s="7" t="inlineStr">
        <is>
          <t>$/yr</t>
        </is>
      </c>
    </row>
    <row r="75">
      <c r="B75" s="5" t="inlineStr">
        <is>
          <t>Sludge disposal</t>
        </is>
      </c>
      <c r="C75" s="15">
        <f>'Financial &amp; LCC Analysis'!$C$49</f>
        <v/>
      </c>
      <c r="D75" s="15">
        <f>'Financial &amp; LCC Analysis'!$D$49</f>
        <v/>
      </c>
      <c r="F75" s="7" t="inlineStr">
        <is>
          <t>$/yr</t>
        </is>
      </c>
    </row>
    <row r="76">
      <c r="B76" s="5" t="inlineStr">
        <is>
          <t>Carbon (SCC)</t>
        </is>
      </c>
      <c r="C76" s="15">
        <f>'Financial &amp; LCC Analysis'!$C$50</f>
        <v/>
      </c>
      <c r="D76" s="15">
        <f>'Financial &amp; LCC Analysis'!$D$50</f>
        <v/>
      </c>
      <c r="F76" s="7" t="inlineStr">
        <is>
          <t>$/yr</t>
        </is>
      </c>
    </row>
  </sheetData>
  <conditionalFormatting sqref="C44">
    <cfRule type="expression" priority="1" dxfId="0">
      <formula>ISNUMBER(SEARCH("❌",C44))</formula>
    </cfRule>
    <cfRule type="expression" priority="2" dxfId="1">
      <formula>ISNUMBER(SEARCH("✅",C44))</formula>
    </cfRule>
  </conditionalFormatting>
  <conditionalFormatting sqref="D44">
    <cfRule type="expression" priority="3" dxfId="0">
      <formula>ISNUMBER(SEARCH("❌",D44))</formula>
    </cfRule>
    <cfRule type="expression" priority="4" dxfId="1">
      <formula>ISNUMBER(SEARCH("✅",D44))</formula>
    </cfRule>
  </conditionalFormatting>
  <conditionalFormatting sqref="C45">
    <cfRule type="expression" priority="5" dxfId="0">
      <formula>ISNUMBER(SEARCH("❌",C45))</formula>
    </cfRule>
    <cfRule type="expression" priority="6" dxfId="1">
      <formula>ISNUMBER(SEARCH("✅",C45))</formula>
    </cfRule>
  </conditionalFormatting>
  <conditionalFormatting sqref="D45">
    <cfRule type="expression" priority="7" dxfId="0">
      <formula>ISNUMBER(SEARCH("❌",D45))</formula>
    </cfRule>
    <cfRule type="expression" priority="8" dxfId="1">
      <formula>ISNUMBER(SEARCH("✅",D45))</formula>
    </cfRule>
  </conditionalFormatting>
  <conditionalFormatting sqref="C46">
    <cfRule type="expression" priority="9" dxfId="0">
      <formula>ISNUMBER(SEARCH("❌",C46))</formula>
    </cfRule>
    <cfRule type="expression" priority="10" dxfId="1">
      <formula>ISNUMBER(SEARCH("✅",C46))</formula>
    </cfRule>
  </conditionalFormatting>
  <conditionalFormatting sqref="D46">
    <cfRule type="expression" priority="11" dxfId="0">
      <formula>ISNUMBER(SEARCH("❌",D46))</formula>
    </cfRule>
    <cfRule type="expression" priority="12" dxfId="1">
      <formula>ISNUMBER(SEARCH("✅",D46))</formula>
    </cfRule>
  </conditionalFormatting>
  <conditionalFormatting sqref="C47">
    <cfRule type="expression" priority="13" dxfId="0">
      <formula>ISNUMBER(SEARCH("❌",C47))</formula>
    </cfRule>
    <cfRule type="expression" priority="14" dxfId="1">
      <formula>ISNUMBER(SEARCH("✅",C47))</formula>
    </cfRule>
  </conditionalFormatting>
  <conditionalFormatting sqref="D47">
    <cfRule type="expression" priority="15" dxfId="0">
      <formula>ISNUMBER(SEARCH("❌",D47))</formula>
    </cfRule>
    <cfRule type="expression" priority="16" dxfId="1">
      <formula>ISNUMBER(SEARCH("✅",D47))</formula>
    </cfRule>
  </conditionalFormatting>
  <conditionalFormatting sqref="C48">
    <cfRule type="expression" priority="17" dxfId="0">
      <formula>ISNUMBER(SEARCH("❌",C48))</formula>
    </cfRule>
    <cfRule type="expression" priority="18" dxfId="1">
      <formula>ISNUMBER(SEARCH("✅",C48))</formula>
    </cfRule>
  </conditionalFormatting>
  <conditionalFormatting sqref="D48">
    <cfRule type="expression" priority="19" dxfId="0">
      <formula>ISNUMBER(SEARCH("❌",D48))</formula>
    </cfRule>
    <cfRule type="expression" priority="20" dxfId="1">
      <formula>ISNUMBER(SEARCH("✅",D48))</formula>
    </cfRule>
  </conditionalFormatting>
  <conditionalFormatting sqref="C49">
    <cfRule type="expression" priority="21" dxfId="0">
      <formula>ISNUMBER(SEARCH("❌",C49))</formula>
    </cfRule>
    <cfRule type="expression" priority="22" dxfId="1">
      <formula>ISNUMBER(SEARCH("✅",C49))</formula>
    </cfRule>
  </conditionalFormatting>
  <conditionalFormatting sqref="D49">
    <cfRule type="expression" priority="23" dxfId="0">
      <formula>ISNUMBER(SEARCH("❌",D49))</formula>
    </cfRule>
    <cfRule type="expression" priority="24" dxfId="1">
      <formula>ISNUMBER(SEARCH("✅",D49))</formula>
    </cfRule>
  </conditionalFormatting>
  <conditionalFormatting sqref="C50">
    <cfRule type="expression" priority="25" dxfId="0">
      <formula>ISNUMBER(SEARCH("❌",C50))</formula>
    </cfRule>
    <cfRule type="expression" priority="26" dxfId="1">
      <formula>ISNUMBER(SEARCH("✅",C50))</formula>
    </cfRule>
  </conditionalFormatting>
  <conditionalFormatting sqref="D50">
    <cfRule type="expression" priority="27" dxfId="0">
      <formula>ISNUMBER(SEARCH("❌",D50))</formula>
    </cfRule>
    <cfRule type="expression" priority="28" dxfId="1">
      <formula>ISNUMBER(SEARCH("✅",D50))</formula>
    </cfRule>
  </conditionalFormatting>
  <conditionalFormatting sqref="C51">
    <cfRule type="expression" priority="29" dxfId="0">
      <formula>ISNUMBER(SEARCH("❌",C51))</formula>
    </cfRule>
    <cfRule type="expression" priority="30" dxfId="1">
      <formula>ISNUMBER(SEARCH("✅",C51))</formula>
    </cfRule>
  </conditionalFormatting>
  <conditionalFormatting sqref="D51">
    <cfRule type="expression" priority="31" dxfId="0">
      <formula>ISNUMBER(SEARCH("❌",D51))</formula>
    </cfRule>
    <cfRule type="expression" priority="32" dxfId="1">
      <formula>ISNUMBER(SEARCH("✅",D51))</formula>
    </cfRule>
  </conditionalFormatting>
  <conditionalFormatting sqref="C52">
    <cfRule type="expression" priority="33" dxfId="0">
      <formula>ISNUMBER(SEARCH("❌",C52))</formula>
    </cfRule>
    <cfRule type="expression" priority="34" dxfId="1">
      <formula>ISNUMBER(SEARCH("✅",C52))</formula>
    </cfRule>
  </conditionalFormatting>
  <conditionalFormatting sqref="D52">
    <cfRule type="expression" priority="35" dxfId="0">
      <formula>ISNUMBER(SEARCH("❌",D52))</formula>
    </cfRule>
    <cfRule type="expression" priority="36" dxfId="1">
      <formula>ISNUMBER(SEARCH("✅",D52))</formula>
    </cfRule>
  </conditionalFormatting>
  <dataValidations count="3">
    <dataValidation sqref="C6" showDropDown="0" showInputMessage="0" showErrorMessage="0" allowBlank="0" type="list">
      <formula1>'Source Library'!$D$6:$I$6</formula1>
    </dataValidation>
    <dataValidation sqref="C7" showDropDown="0" showInputMessage="0" showErrorMessage="0" allowBlank="0" type="list">
      <formula1>"Current Baseline,Corrugated Fill + High CoC"</formula1>
    </dataValidation>
    <dataValidation sqref="C11 C16 D16" showDropDown="0" showInputMessage="0" showErrorMessage="0" allowBlank="0" type="list">
      <formula1>"1,0"</formula1>
    </dataValidation>
  </dataValidation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548235"/>
    <outlinePr summaryBelow="1" summaryRight="1"/>
    <pageSetUpPr/>
  </sheetPr>
  <dimension ref="B1:AM59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4" customWidth="1" min="2" max="2"/>
    <col width="10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  <col width="14" customWidth="1" min="10" max="10"/>
    <col width="16" customWidth="1" min="11" max="11"/>
    <col width="14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6" customWidth="1" min="20" max="20"/>
    <col width="15" customWidth="1" min="21" max="21"/>
    <col width="16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2" customWidth="1" min="38" max="38"/>
    <col width="14" customWidth="1" min="39" max="39"/>
  </cols>
  <sheetData>
    <row r="1">
      <c r="B1" s="1" t="inlineStr">
        <is>
          <t>Process Flow Mass Balance — node by node</t>
        </is>
      </c>
    </row>
    <row r="2">
      <c r="B2" s="2" t="inlineStr">
        <is>
          <t>Q_out = Q_in − Q_reject − Q_evap ;  C_out,j = [Q_in·C_in,j·(1 − R_j) + Dosing_j] / Q_out</t>
        </is>
      </c>
      <c r="D2" s="19">
        <f>"Active scenario: "&amp;'Dashboard'!$C$7</f>
        <v/>
      </c>
    </row>
    <row r="5">
      <c r="B5" s="3" t="inlineStr">
        <is>
          <t>1. Node configuration (toggle steps on/off)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</row>
    <row r="6">
      <c r="B6" s="11" t="inlineStr">
        <is>
          <t>Process step</t>
        </is>
      </c>
      <c r="C6" s="11" t="inlineStr">
        <is>
          <t>On (1/0)</t>
        </is>
      </c>
      <c r="D6" s="11" t="inlineStr">
        <is>
          <t>Recovery Q_out/Q_in</t>
        </is>
      </c>
      <c r="E6" s="11" t="inlineStr">
        <is>
          <t>Energy kWh/kgal</t>
        </is>
      </c>
      <c r="F6" s="11" t="inlineStr">
        <is>
          <t>LRV virus</t>
        </is>
      </c>
      <c r="G6" s="11" t="inlineStr">
        <is>
          <t>LRV protozoa</t>
        </is>
      </c>
      <c r="H6" s="11" t="inlineStr">
        <is>
          <t>LRV bacteria</t>
        </is>
      </c>
      <c r="I6" s="11" t="inlineStr">
        <is>
          <t>pH out (blank = pass)</t>
        </is>
      </c>
      <c r="J6" s="11" t="inlineStr">
        <is>
          <t>Effective recovery</t>
        </is>
      </c>
      <c r="K6" s="11" t="inlineStr">
        <is>
          <t>Relative inflow Q_in/Q_intake</t>
        </is>
      </c>
      <c r="L6" s="11" t="inlineStr">
        <is>
          <t>Energy used kWh/kgal</t>
        </is>
      </c>
    </row>
    <row r="7">
      <c r="B7" s="17" t="inlineStr">
        <is>
          <t>Raw Water Intake</t>
        </is>
      </c>
      <c r="C7" s="6" t="n">
        <v>1</v>
      </c>
      <c r="D7" s="20" t="n">
        <v>1</v>
      </c>
      <c r="E7" s="21" t="n">
        <v>1.5</v>
      </c>
      <c r="F7" s="21" t="n">
        <v>0</v>
      </c>
      <c r="G7" s="21" t="n">
        <v>0</v>
      </c>
      <c r="H7" s="21" t="n">
        <v>0</v>
      </c>
      <c r="I7" s="21" t="n"/>
      <c r="J7" s="22">
        <f>IF(C7=1,D7,1)</f>
        <v/>
      </c>
      <c r="K7" s="22" t="n">
        <v>1</v>
      </c>
      <c r="L7" s="14">
        <f>IF(C7=1,E7,0)</f>
        <v/>
      </c>
    </row>
    <row r="8">
      <c r="B8" s="17" t="inlineStr">
        <is>
          <t>Coagulation / Flocculation / Sedimentation</t>
        </is>
      </c>
      <c r="C8" s="6" t="n">
        <v>1</v>
      </c>
      <c r="D8" s="20" t="n">
        <v>0.98</v>
      </c>
      <c r="E8" s="21" t="n">
        <v>0.1</v>
      </c>
      <c r="F8" s="21" t="n">
        <v>1</v>
      </c>
      <c r="G8" s="21" t="n">
        <v>0.5</v>
      </c>
      <c r="H8" s="21" t="n">
        <v>1</v>
      </c>
      <c r="I8" s="21" t="n"/>
      <c r="J8" s="22">
        <f>IF(C8=1,D8,1)</f>
        <v/>
      </c>
      <c r="K8" s="22">
        <f>K7*J7</f>
        <v/>
      </c>
      <c r="L8" s="14">
        <f>IF(C8=1,E8,0)</f>
        <v/>
      </c>
    </row>
    <row r="9">
      <c r="B9" s="17" t="inlineStr">
        <is>
          <t>Multi-Media Filtration</t>
        </is>
      </c>
      <c r="C9" s="6" t="n">
        <v>1</v>
      </c>
      <c r="D9" s="20" t="n">
        <v>0.97</v>
      </c>
      <c r="E9" s="21" t="n">
        <v>0.1</v>
      </c>
      <c r="F9" s="21" t="n">
        <v>1</v>
      </c>
      <c r="G9" s="21" t="n">
        <v>2</v>
      </c>
      <c r="H9" s="21" t="n">
        <v>1</v>
      </c>
      <c r="I9" s="21" t="n"/>
      <c r="J9" s="22">
        <f>IF(C9=1,D9,1)</f>
        <v/>
      </c>
      <c r="K9" s="22">
        <f>K8*J8</f>
        <v/>
      </c>
      <c r="L9" s="14">
        <f>IF(C9=1,E9,0)</f>
        <v/>
      </c>
    </row>
    <row r="10">
      <c r="B10" s="17" t="inlineStr">
        <is>
          <t>Ultrafiltration</t>
        </is>
      </c>
      <c r="C10" s="6" t="n">
        <v>1</v>
      </c>
      <c r="D10" s="20" t="n">
        <v>0.95</v>
      </c>
      <c r="E10" s="21" t="n">
        <v>0.4</v>
      </c>
      <c r="F10" s="21" t="n">
        <v>4</v>
      </c>
      <c r="G10" s="21" t="n">
        <v>4</v>
      </c>
      <c r="H10" s="21" t="n">
        <v>4</v>
      </c>
      <c r="I10" s="21" t="n"/>
      <c r="J10" s="22">
        <f>IF(C10=1,D10,1)</f>
        <v/>
      </c>
      <c r="K10" s="22">
        <f>K9*J9</f>
        <v/>
      </c>
      <c r="L10" s="14">
        <f>IF(C10=1,E10,0)</f>
        <v/>
      </c>
    </row>
    <row r="11">
      <c r="B11" s="17" t="inlineStr">
        <is>
          <t>RO / IX Demineralization</t>
        </is>
      </c>
      <c r="C11" s="23">
        <f>'Dashboard'!$C$11</f>
        <v/>
      </c>
      <c r="D11" s="20" t="n">
        <v>0.8</v>
      </c>
      <c r="E11" s="21" t="n"/>
      <c r="F11" s="21" t="n">
        <v>1.5</v>
      </c>
      <c r="G11" s="21" t="n">
        <v>1.5</v>
      </c>
      <c r="H11" s="21" t="n">
        <v>1.5</v>
      </c>
      <c r="I11" s="21" t="n">
        <v>6.5</v>
      </c>
      <c r="J11" s="22">
        <f>IF(C11=1,D11,1)</f>
        <v/>
      </c>
      <c r="K11" s="22">
        <f>K10*J10</f>
        <v/>
      </c>
      <c r="L11" s="14">
        <f>IF(C11=1,IF(ISNUMBER(E11),E11,(0.3+0.1*'Process Flow Mass Balance'!$G$54/1000)*1000*0.00378541),0)</f>
        <v/>
      </c>
    </row>
    <row r="12">
      <c r="B12" s="17" t="inlineStr">
        <is>
          <t>Chlorine Contact (CT)</t>
        </is>
      </c>
      <c r="C12" s="6" t="n">
        <v>1</v>
      </c>
      <c r="D12" s="20" t="n">
        <v>1</v>
      </c>
      <c r="E12" s="21" t="n">
        <v>0.05</v>
      </c>
      <c r="F12" s="21" t="n">
        <v>0</v>
      </c>
      <c r="G12" s="21" t="n">
        <v>0</v>
      </c>
      <c r="H12" s="21" t="n">
        <v>0</v>
      </c>
      <c r="I12" s="21" t="n"/>
      <c r="J12" s="22">
        <f>IF(C12=1,D12,1)</f>
        <v/>
      </c>
      <c r="K12" s="22">
        <f>K11*J11</f>
        <v/>
      </c>
      <c r="L12" s="14">
        <f>IF(C12=1,E12,0)</f>
        <v/>
      </c>
    </row>
    <row r="14">
      <c r="B14" s="5" t="inlineStr">
        <is>
          <t>Overall train recovery Π(effective recovery)</t>
        </is>
      </c>
      <c r="C14" s="22">
        <f>PRODUCT(J7:J12)</f>
        <v/>
      </c>
      <c r="D14" s="7" t="inlineStr">
        <is>
          <t>-</t>
        </is>
      </c>
    </row>
    <row r="15">
      <c r="B15" s="5" t="inlineStr">
        <is>
          <t>Treatment energy per gallon of intake</t>
        </is>
      </c>
      <c r="C15" s="16">
        <f>SUMPRODUCT('Process Flow Mass Balance'!$L$7:$L$12,'Process Flow Mass Balance'!$K$7:$K$12)/1000</f>
        <v/>
      </c>
      <c r="D15" s="7" t="inlineStr">
        <is>
          <t>kWh/gal</t>
        </is>
      </c>
      <c r="E15" s="8" t="inlineStr">
        <is>
          <t>RO blank energy → 0.3 + 0.1·TDS(g/L) kWh/m³ (screening)</t>
        </is>
      </c>
    </row>
    <row r="17">
      <c r="B17" s="3" t="inlineStr">
        <is>
          <t>2. Coagulation / sedimentation — Stokes' law settling</t>
        </is>
      </c>
      <c r="C17" s="4" t="n"/>
      <c r="D17" s="4" t="n"/>
      <c r="E17" s="4" t="n"/>
      <c r="F17" s="4" t="n"/>
      <c r="G17" s="4" t="n"/>
    </row>
    <row r="18">
      <c r="B18" s="5" t="inlineStr">
        <is>
          <t>Floc particle diameter</t>
        </is>
      </c>
      <c r="C18" s="9" t="n">
        <v>150</v>
      </c>
      <c r="D18" s="7" t="inlineStr">
        <is>
          <t>µm</t>
        </is>
      </c>
    </row>
    <row r="19">
      <c r="B19" s="5" t="inlineStr">
        <is>
          <t>Particle density ρp</t>
        </is>
      </c>
      <c r="C19" s="9" t="n">
        <v>1065</v>
      </c>
      <c r="D19" s="7" t="inlineStr">
        <is>
          <t>kg/m³</t>
        </is>
      </c>
    </row>
    <row r="20">
      <c r="B20" s="5" t="inlineStr">
        <is>
          <t>Water density ρw</t>
        </is>
      </c>
      <c r="C20" s="9" t="n">
        <v>1000</v>
      </c>
      <c r="D20" s="7" t="inlineStr">
        <is>
          <t>kg/m³</t>
        </is>
      </c>
    </row>
    <row r="21">
      <c r="B21" s="5" t="inlineStr">
        <is>
          <t>Dynamic viscosity μ (15 °C)</t>
        </is>
      </c>
      <c r="C21" s="24" t="n">
        <v>0.00113</v>
      </c>
      <c r="D21" s="7" t="inlineStr">
        <is>
          <t>Pa·s</t>
        </is>
      </c>
    </row>
    <row r="22">
      <c r="B22" s="5" t="inlineStr">
        <is>
          <t>Clarifier overflow rate</t>
        </is>
      </c>
      <c r="C22" s="21" t="n">
        <v>1.5</v>
      </c>
      <c r="D22" s="7" t="inlineStr">
        <is>
          <t>m/h</t>
        </is>
      </c>
    </row>
    <row r="23">
      <c r="B23" s="5" t="inlineStr">
        <is>
          <t>Design TSS removal</t>
        </is>
      </c>
      <c r="C23" s="10" t="n">
        <v>0.9</v>
      </c>
      <c r="D23" s="7" t="inlineStr">
        <is>
          <t>-</t>
        </is>
      </c>
    </row>
    <row r="24">
      <c r="B24" s="5" t="inlineStr">
        <is>
          <t>Settling velocity v_s = g(ρp − ρw)d²/(18μ)</t>
        </is>
      </c>
      <c r="C24" s="16">
        <f>9.81*('Process Flow Mass Balance'!$C$19-'Process Flow Mass Balance'!$C$20)*('Process Flow Mass Balance'!$C$18*0.000001)^2/(18*'Process Flow Mass Balance'!$C$21)</f>
        <v/>
      </c>
      <c r="D24" s="7" t="inlineStr">
        <is>
          <t>m/s</t>
        </is>
      </c>
    </row>
    <row r="25">
      <c r="B25" s="5" t="inlineStr">
        <is>
          <t>Settling velocity</t>
        </is>
      </c>
      <c r="C25" s="14">
        <f>'Process Flow Mass Balance'!$C$24*3600</f>
        <v/>
      </c>
      <c r="D25" s="7" t="inlineStr">
        <is>
          <t>m/h</t>
        </is>
      </c>
    </row>
    <row r="26">
      <c r="B26" s="5" t="inlineStr">
        <is>
          <t>Achieved TSS removal = R_design × MIN(1, v_s/SOR)</t>
        </is>
      </c>
      <c r="C26" s="18">
        <f>'Process Flow Mass Balance'!$C$23*MIN(1,'Process Flow Mass Balance'!$C$25/'Process Flow Mass Balance'!$C$22)</f>
        <v/>
      </c>
      <c r="D26" s="7" t="inlineStr">
        <is>
          <t>-</t>
        </is>
      </c>
    </row>
    <row r="27">
      <c r="B27" s="5" t="inlineStr">
        <is>
          <t>Alum dose</t>
        </is>
      </c>
      <c r="C27" s="9" t="n">
        <v>10</v>
      </c>
      <c r="D27" s="7" t="inlineStr">
        <is>
          <t>mg/L</t>
        </is>
      </c>
    </row>
    <row r="29">
      <c r="B29" s="3" t="inlineStr">
        <is>
          <t>3. Removal fraction R_j (mass to waste)  — RO row = 1 − Y·(1 − rejection)</t>
        </is>
      </c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</row>
    <row r="30">
      <c r="B30" s="11" t="inlineStr">
        <is>
          <t>Process step</t>
        </is>
      </c>
      <c r="C30" s="11" t="inlineStr">
        <is>
          <t>EC</t>
        </is>
      </c>
      <c r="D30" s="11" t="inlineStr">
        <is>
          <t>TDS</t>
        </is>
      </c>
      <c r="E30" s="11" t="inlineStr">
        <is>
          <t>SiO₂</t>
        </is>
      </c>
      <c r="F30" s="11" t="inlineStr">
        <is>
          <t>Na⁺</t>
        </is>
      </c>
      <c r="G30" s="11" t="inlineStr">
        <is>
          <t>Ca²⁺</t>
        </is>
      </c>
      <c r="H30" s="11" t="inlineStr">
        <is>
          <t>Mg²⁺</t>
        </is>
      </c>
      <c r="I30" s="11" t="inlineStr">
        <is>
          <t>Cl⁻</t>
        </is>
      </c>
      <c r="J30" s="11" t="inlineStr">
        <is>
          <t>PO₄³⁻</t>
        </is>
      </c>
      <c r="K30" s="11" t="inlineStr">
        <is>
          <t>SO₄²⁻</t>
        </is>
      </c>
      <c r="L30" s="11" t="inlineStr">
        <is>
          <t>Alk (CaCO₃)</t>
        </is>
      </c>
      <c r="M30" s="11" t="inlineStr">
        <is>
          <t>Free Cl₂</t>
        </is>
      </c>
      <c r="N30" s="11" t="inlineStr">
        <is>
          <t>TSS</t>
        </is>
      </c>
      <c r="O30" s="11" t="inlineStr">
        <is>
          <t>BOD₅</t>
        </is>
      </c>
      <c r="P30" s="11" t="inlineStr">
        <is>
          <t>COD</t>
        </is>
      </c>
    </row>
    <row r="31">
      <c r="B31" s="5" t="inlineStr">
        <is>
          <t>RO membrane rejection (input)</t>
        </is>
      </c>
      <c r="C31" s="25" t="n">
        <v>0.99</v>
      </c>
      <c r="D31" s="25" t="n">
        <v>0.99</v>
      </c>
      <c r="E31" s="25" t="n">
        <v>0.98</v>
      </c>
      <c r="F31" s="25" t="n">
        <v>0.985</v>
      </c>
      <c r="G31" s="25" t="n">
        <v>0.995</v>
      </c>
      <c r="H31" s="25" t="n">
        <v>0.995</v>
      </c>
      <c r="I31" s="25" t="n">
        <v>0.985</v>
      </c>
      <c r="J31" s="25" t="n">
        <v>0.995</v>
      </c>
      <c r="K31" s="25" t="n">
        <v>0.995</v>
      </c>
      <c r="L31" s="25" t="n">
        <v>0.97</v>
      </c>
      <c r="M31" s="25" t="n">
        <v>1</v>
      </c>
      <c r="N31" s="25" t="n">
        <v>1</v>
      </c>
      <c r="O31" s="25" t="n">
        <v>0.9</v>
      </c>
      <c r="P31" s="25" t="n">
        <v>0.9</v>
      </c>
    </row>
    <row r="32">
      <c r="B32" s="5" t="inlineStr">
        <is>
          <t>Raw Water Intake</t>
        </is>
      </c>
      <c r="C32" s="25" t="n">
        <v>0</v>
      </c>
      <c r="D32" s="25" t="n">
        <v>0</v>
      </c>
      <c r="E32" s="25" t="n">
        <v>0</v>
      </c>
      <c r="F32" s="25" t="n">
        <v>0</v>
      </c>
      <c r="G32" s="25" t="n">
        <v>0</v>
      </c>
      <c r="H32" s="25" t="n">
        <v>0</v>
      </c>
      <c r="I32" s="25" t="n">
        <v>0</v>
      </c>
      <c r="J32" s="25" t="n">
        <v>0</v>
      </c>
      <c r="K32" s="25" t="n">
        <v>0</v>
      </c>
      <c r="L32" s="25" t="n">
        <v>0</v>
      </c>
      <c r="M32" s="25" t="n">
        <v>0</v>
      </c>
      <c r="N32" s="25" t="n">
        <v>0</v>
      </c>
      <c r="O32" s="25" t="n">
        <v>0</v>
      </c>
      <c r="P32" s="25" t="n">
        <v>0</v>
      </c>
    </row>
    <row r="33">
      <c r="B33" s="5" t="inlineStr">
        <is>
          <t>Coagulation / Flocculation / Sedimentation</t>
        </is>
      </c>
      <c r="C33" s="25" t="n">
        <v>0</v>
      </c>
      <c r="D33" s="25" t="n">
        <v>0</v>
      </c>
      <c r="E33" s="25" t="n">
        <v>0</v>
      </c>
      <c r="F33" s="25" t="n">
        <v>0</v>
      </c>
      <c r="G33" s="25" t="n">
        <v>0</v>
      </c>
      <c r="H33" s="25" t="n">
        <v>0</v>
      </c>
      <c r="I33" s="25" t="n">
        <v>0</v>
      </c>
      <c r="J33" s="25" t="n">
        <v>0.8</v>
      </c>
      <c r="K33" s="25" t="n">
        <v>0</v>
      </c>
      <c r="L33" s="25" t="n">
        <v>0</v>
      </c>
      <c r="M33" s="25" t="n">
        <v>0</v>
      </c>
      <c r="N33" s="22">
        <f>'Process Flow Mass Balance'!$C$26</f>
        <v/>
      </c>
      <c r="O33" s="25" t="n">
        <v>0.3</v>
      </c>
      <c r="P33" s="25" t="n">
        <v>0.3</v>
      </c>
    </row>
    <row r="34">
      <c r="B34" s="5" t="inlineStr">
        <is>
          <t>Multi-Media Filtration</t>
        </is>
      </c>
      <c r="C34" s="25" t="n">
        <v>0</v>
      </c>
      <c r="D34" s="25" t="n">
        <v>0</v>
      </c>
      <c r="E34" s="25" t="n">
        <v>0</v>
      </c>
      <c r="F34" s="25" t="n">
        <v>0</v>
      </c>
      <c r="G34" s="25" t="n">
        <v>0</v>
      </c>
      <c r="H34" s="25" t="n">
        <v>0</v>
      </c>
      <c r="I34" s="25" t="n">
        <v>0</v>
      </c>
      <c r="J34" s="25" t="n">
        <v>0</v>
      </c>
      <c r="K34" s="25" t="n">
        <v>0</v>
      </c>
      <c r="L34" s="25" t="n">
        <v>0</v>
      </c>
      <c r="M34" s="25" t="n">
        <v>0</v>
      </c>
      <c r="N34" s="25" t="n">
        <v>0.8</v>
      </c>
      <c r="O34" s="25" t="n">
        <v>0.1</v>
      </c>
      <c r="P34" s="25" t="n">
        <v>0.1</v>
      </c>
    </row>
    <row r="35">
      <c r="B35" s="5" t="inlineStr">
        <is>
          <t>Ultrafiltration</t>
        </is>
      </c>
      <c r="C35" s="25" t="n">
        <v>0</v>
      </c>
      <c r="D35" s="25" t="n">
        <v>0</v>
      </c>
      <c r="E35" s="25" t="n">
        <v>0</v>
      </c>
      <c r="F35" s="25" t="n">
        <v>0</v>
      </c>
      <c r="G35" s="25" t="n">
        <v>0</v>
      </c>
      <c r="H35" s="25" t="n">
        <v>0</v>
      </c>
      <c r="I35" s="25" t="n">
        <v>0</v>
      </c>
      <c r="J35" s="25" t="n">
        <v>0</v>
      </c>
      <c r="K35" s="25" t="n">
        <v>0</v>
      </c>
      <c r="L35" s="25" t="n">
        <v>0</v>
      </c>
      <c r="M35" s="25" t="n">
        <v>0</v>
      </c>
      <c r="N35" s="25" t="n">
        <v>0.999</v>
      </c>
      <c r="O35" s="25" t="n">
        <v>0.2</v>
      </c>
      <c r="P35" s="25" t="n">
        <v>0.15</v>
      </c>
    </row>
    <row r="36">
      <c r="B36" s="5" t="inlineStr">
        <is>
          <t>RO / IX Demineralization</t>
        </is>
      </c>
      <c r="C36" s="22">
        <f>1-'Process Flow Mass Balance'!$D$11*(1-'Process Flow Mass Balance'!$C$31)</f>
        <v/>
      </c>
      <c r="D36" s="22">
        <f>1-'Process Flow Mass Balance'!$D$11*(1-'Process Flow Mass Balance'!$D$31)</f>
        <v/>
      </c>
      <c r="E36" s="22">
        <f>1-'Process Flow Mass Balance'!$D$11*(1-'Process Flow Mass Balance'!$E$31)</f>
        <v/>
      </c>
      <c r="F36" s="22">
        <f>1-'Process Flow Mass Balance'!$D$11*(1-'Process Flow Mass Balance'!$F$31)</f>
        <v/>
      </c>
      <c r="G36" s="22">
        <f>1-'Process Flow Mass Balance'!$D$11*(1-'Process Flow Mass Balance'!$G$31)</f>
        <v/>
      </c>
      <c r="H36" s="22">
        <f>1-'Process Flow Mass Balance'!$D$11*(1-'Process Flow Mass Balance'!$H$31)</f>
        <v/>
      </c>
      <c r="I36" s="22">
        <f>1-'Process Flow Mass Balance'!$D$11*(1-'Process Flow Mass Balance'!$I$31)</f>
        <v/>
      </c>
      <c r="J36" s="22">
        <f>1-'Process Flow Mass Balance'!$D$11*(1-'Process Flow Mass Balance'!$J$31)</f>
        <v/>
      </c>
      <c r="K36" s="22">
        <f>1-'Process Flow Mass Balance'!$D$11*(1-'Process Flow Mass Balance'!$K$31)</f>
        <v/>
      </c>
      <c r="L36" s="22">
        <f>1-'Process Flow Mass Balance'!$D$11*(1-'Process Flow Mass Balance'!$L$31)</f>
        <v/>
      </c>
      <c r="M36" s="22">
        <f>1-'Process Flow Mass Balance'!$D$11*(1-'Process Flow Mass Balance'!$M$31)</f>
        <v/>
      </c>
      <c r="N36" s="22">
        <f>1-'Process Flow Mass Balance'!$D$11*(1-'Process Flow Mass Balance'!$N$31)</f>
        <v/>
      </c>
      <c r="O36" s="22">
        <f>1-'Process Flow Mass Balance'!$D$11*(1-'Process Flow Mass Balance'!$O$31)</f>
        <v/>
      </c>
      <c r="P36" s="22">
        <f>1-'Process Flow Mass Balance'!$D$11*(1-'Process Flow Mass Balance'!$P$31)</f>
        <v/>
      </c>
    </row>
    <row r="37">
      <c r="B37" s="5" t="inlineStr">
        <is>
          <t>Chlorine Contact (CT)</t>
        </is>
      </c>
      <c r="C37" s="25" t="n">
        <v>0</v>
      </c>
      <c r="D37" s="25" t="n">
        <v>0</v>
      </c>
      <c r="E37" s="25" t="n">
        <v>0</v>
      </c>
      <c r="F37" s="25" t="n">
        <v>0</v>
      </c>
      <c r="G37" s="25" t="n">
        <v>0</v>
      </c>
      <c r="H37" s="25" t="n">
        <v>0</v>
      </c>
      <c r="I37" s="25" t="n">
        <v>0</v>
      </c>
      <c r="J37" s="25" t="n">
        <v>0</v>
      </c>
      <c r="K37" s="25" t="n">
        <v>0</v>
      </c>
      <c r="L37" s="25" t="n">
        <v>0</v>
      </c>
      <c r="M37" s="25" t="n">
        <v>0.5</v>
      </c>
      <c r="N37" s="25" t="n">
        <v>0</v>
      </c>
      <c r="O37" s="25" t="n">
        <v>0</v>
      </c>
      <c r="P37" s="25" t="n">
        <v>0</v>
      </c>
    </row>
    <row r="39">
      <c r="B39" s="3" t="inlineStr">
        <is>
          <t>4. Chemical dosing (mg/L of node inflow; negative = consumed)</t>
        </is>
      </c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</row>
    <row r="40">
      <c r="B40" s="11" t="inlineStr">
        <is>
          <t>Process step</t>
        </is>
      </c>
      <c r="C40" s="11" t="inlineStr">
        <is>
          <t>EC</t>
        </is>
      </c>
      <c r="D40" s="11" t="inlineStr">
        <is>
          <t>TDS</t>
        </is>
      </c>
      <c r="E40" s="11" t="inlineStr">
        <is>
          <t>SiO₂</t>
        </is>
      </c>
      <c r="F40" s="11" t="inlineStr">
        <is>
          <t>Na⁺</t>
        </is>
      </c>
      <c r="G40" s="11" t="inlineStr">
        <is>
          <t>Ca²⁺</t>
        </is>
      </c>
      <c r="H40" s="11" t="inlineStr">
        <is>
          <t>Mg²⁺</t>
        </is>
      </c>
      <c r="I40" s="11" t="inlineStr">
        <is>
          <t>Cl⁻</t>
        </is>
      </c>
      <c r="J40" s="11" t="inlineStr">
        <is>
          <t>PO₄³⁻</t>
        </is>
      </c>
      <c r="K40" s="11" t="inlineStr">
        <is>
          <t>SO₄²⁻</t>
        </is>
      </c>
      <c r="L40" s="11" t="inlineStr">
        <is>
          <t>Alk (CaCO₃)</t>
        </is>
      </c>
      <c r="M40" s="11" t="inlineStr">
        <is>
          <t>Free Cl₂</t>
        </is>
      </c>
      <c r="N40" s="11" t="inlineStr">
        <is>
          <t>TSS</t>
        </is>
      </c>
      <c r="O40" s="11" t="inlineStr">
        <is>
          <t>BOD₅</t>
        </is>
      </c>
      <c r="P40" s="11" t="inlineStr">
        <is>
          <t>COD</t>
        </is>
      </c>
    </row>
    <row r="41">
      <c r="B41" s="5" t="inlineStr">
        <is>
          <t>Raw Water Intake</t>
        </is>
      </c>
      <c r="C41" s="21" t="n">
        <v>0</v>
      </c>
      <c r="D41" s="21" t="n">
        <v>0</v>
      </c>
      <c r="E41" s="21" t="n">
        <v>0</v>
      </c>
      <c r="F41" s="21" t="n">
        <v>0</v>
      </c>
      <c r="G41" s="21" t="n">
        <v>0</v>
      </c>
      <c r="H41" s="21" t="n">
        <v>0</v>
      </c>
      <c r="I41" s="21" t="n">
        <v>0</v>
      </c>
      <c r="J41" s="21" t="n">
        <v>0</v>
      </c>
      <c r="K41" s="21" t="n">
        <v>0</v>
      </c>
      <c r="L41" s="21" t="n">
        <v>0</v>
      </c>
      <c r="M41" s="21" t="n">
        <v>0</v>
      </c>
      <c r="N41" s="21" t="n">
        <v>0</v>
      </c>
      <c r="O41" s="21" t="n">
        <v>0</v>
      </c>
      <c r="P41" s="21" t="n">
        <v>0</v>
      </c>
    </row>
    <row r="42">
      <c r="B42" s="5" t="inlineStr">
        <is>
          <t>Coagulation / Flocculation / Sedimentation</t>
        </is>
      </c>
      <c r="C42" s="21" t="n">
        <v>6</v>
      </c>
      <c r="D42" s="21" t="n">
        <v>4</v>
      </c>
      <c r="E42" s="21" t="n">
        <v>0</v>
      </c>
      <c r="F42" s="21" t="n">
        <v>0</v>
      </c>
      <c r="G42" s="21" t="n">
        <v>0</v>
      </c>
      <c r="H42" s="21" t="n">
        <v>0</v>
      </c>
      <c r="I42" s="21" t="n">
        <v>0</v>
      </c>
      <c r="J42" s="21" t="n">
        <v>0</v>
      </c>
      <c r="K42" s="21" t="n">
        <v>4.85</v>
      </c>
      <c r="L42" s="21" t="n">
        <v>-5</v>
      </c>
      <c r="M42" s="21" t="n">
        <v>0</v>
      </c>
      <c r="N42" s="21" t="n">
        <v>0</v>
      </c>
      <c r="O42" s="21" t="n">
        <v>0</v>
      </c>
      <c r="P42" s="21" t="n">
        <v>0</v>
      </c>
    </row>
    <row r="43">
      <c r="B43" s="5" t="inlineStr">
        <is>
          <t>Multi-Media Filtration</t>
        </is>
      </c>
      <c r="C43" s="21" t="n">
        <v>0</v>
      </c>
      <c r="D43" s="21" t="n">
        <v>0</v>
      </c>
      <c r="E43" s="21" t="n">
        <v>0</v>
      </c>
      <c r="F43" s="21" t="n">
        <v>0</v>
      </c>
      <c r="G43" s="21" t="n">
        <v>0</v>
      </c>
      <c r="H43" s="21" t="n">
        <v>0</v>
      </c>
      <c r="I43" s="21" t="n">
        <v>0</v>
      </c>
      <c r="J43" s="21" t="n">
        <v>0</v>
      </c>
      <c r="K43" s="21" t="n">
        <v>0</v>
      </c>
      <c r="L43" s="21" t="n">
        <v>0</v>
      </c>
      <c r="M43" s="21" t="n">
        <v>0</v>
      </c>
      <c r="N43" s="21" t="n">
        <v>0</v>
      </c>
      <c r="O43" s="21" t="n">
        <v>0</v>
      </c>
      <c r="P43" s="21" t="n">
        <v>0</v>
      </c>
    </row>
    <row r="44">
      <c r="B44" s="5" t="inlineStr">
        <is>
          <t>Ultrafiltration</t>
        </is>
      </c>
      <c r="C44" s="21" t="n">
        <v>0</v>
      </c>
      <c r="D44" s="21" t="n">
        <v>0</v>
      </c>
      <c r="E44" s="21" t="n">
        <v>0</v>
      </c>
      <c r="F44" s="21" t="n">
        <v>0</v>
      </c>
      <c r="G44" s="21" t="n">
        <v>0</v>
      </c>
      <c r="H44" s="21" t="n">
        <v>0</v>
      </c>
      <c r="I44" s="21" t="n">
        <v>0</v>
      </c>
      <c r="J44" s="21" t="n">
        <v>0</v>
      </c>
      <c r="K44" s="21" t="n">
        <v>0</v>
      </c>
      <c r="L44" s="21" t="n">
        <v>0</v>
      </c>
      <c r="M44" s="21" t="n">
        <v>0</v>
      </c>
      <c r="N44" s="21" t="n">
        <v>0</v>
      </c>
      <c r="O44" s="21" t="n">
        <v>0</v>
      </c>
      <c r="P44" s="21" t="n">
        <v>0</v>
      </c>
    </row>
    <row r="45">
      <c r="B45" s="5" t="inlineStr">
        <is>
          <t>RO / IX Demineralization</t>
        </is>
      </c>
      <c r="C45" s="21" t="n">
        <v>0</v>
      </c>
      <c r="D45" s="21" t="n">
        <v>0</v>
      </c>
      <c r="E45" s="21" t="n">
        <v>0</v>
      </c>
      <c r="F45" s="21" t="n">
        <v>0</v>
      </c>
      <c r="G45" s="21" t="n">
        <v>0</v>
      </c>
      <c r="H45" s="21" t="n">
        <v>0</v>
      </c>
      <c r="I45" s="21" t="n">
        <v>0</v>
      </c>
      <c r="J45" s="21" t="n">
        <v>0</v>
      </c>
      <c r="K45" s="21" t="n">
        <v>0</v>
      </c>
      <c r="L45" s="21" t="n">
        <v>0</v>
      </c>
      <c r="M45" s="21" t="n">
        <v>0</v>
      </c>
      <c r="N45" s="21" t="n">
        <v>0</v>
      </c>
      <c r="O45" s="21" t="n">
        <v>0</v>
      </c>
      <c r="P45" s="21" t="n">
        <v>0</v>
      </c>
    </row>
    <row r="46">
      <c r="B46" s="5" t="inlineStr">
        <is>
          <t>Chlorine Contact (CT)</t>
        </is>
      </c>
      <c r="C46" s="21" t="n">
        <v>4</v>
      </c>
      <c r="D46" s="21" t="n">
        <v>2.5</v>
      </c>
      <c r="E46" s="21" t="n">
        <v>0</v>
      </c>
      <c r="F46" s="21" t="n">
        <v>1</v>
      </c>
      <c r="G46" s="21" t="n">
        <v>0</v>
      </c>
      <c r="H46" s="21" t="n">
        <v>0</v>
      </c>
      <c r="I46" s="21" t="n">
        <v>1.5</v>
      </c>
      <c r="J46" s="21" t="n">
        <v>0</v>
      </c>
      <c r="K46" s="21" t="n">
        <v>0</v>
      </c>
      <c r="L46" s="21" t="n">
        <v>0</v>
      </c>
      <c r="M46" s="21" t="n">
        <v>1.5</v>
      </c>
      <c r="N46" s="21" t="n">
        <v>0</v>
      </c>
      <c r="O46" s="21" t="n">
        <v>0</v>
      </c>
      <c r="P46" s="21" t="n">
        <v>0</v>
      </c>
    </row>
    <row r="48">
      <c r="B48" s="3" t="inlineStr">
        <is>
          <t>5. Flow &amp; quality matrix (active scenario) — C_out,j = [Q_in·C_in,j·(1−R_j) + Dosing_j]/Q_out with Q per unit intake</t>
        </is>
      </c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  <c r="AB48" s="4" t="n"/>
      <c r="AC48" s="4" t="n"/>
      <c r="AD48" s="4" t="n"/>
      <c r="AE48" s="4" t="n"/>
      <c r="AF48" s="4" t="n"/>
      <c r="AG48" s="4" t="n"/>
      <c r="AH48" s="4" t="n"/>
      <c r="AI48" s="4" t="n"/>
      <c r="AJ48" s="4" t="n"/>
      <c r="AK48" s="4" t="n"/>
      <c r="AL48" s="4" t="n"/>
      <c r="AM48" s="4" t="n"/>
    </row>
    <row r="49" ht="45" customHeight="1">
      <c r="B49" s="11" t="inlineStr">
        <is>
          <t>Process step</t>
        </is>
      </c>
      <c r="C49" s="11" t="inlineStr">
        <is>
          <t>On</t>
        </is>
      </c>
      <c r="D49" s="11" t="inlineStr">
        <is>
          <t>Inflow Q_in (gpd)</t>
        </is>
      </c>
      <c r="E49" s="11" t="inlineStr">
        <is>
          <t>In pH</t>
        </is>
      </c>
      <c r="F49" s="11" t="inlineStr">
        <is>
          <t>In EC</t>
        </is>
      </c>
      <c r="G49" s="11" t="inlineStr">
        <is>
          <t>In TDS</t>
        </is>
      </c>
      <c r="H49" s="11" t="inlineStr">
        <is>
          <t>In SiO₂</t>
        </is>
      </c>
      <c r="I49" s="11" t="inlineStr">
        <is>
          <t>In Na⁺</t>
        </is>
      </c>
      <c r="J49" s="11" t="inlineStr">
        <is>
          <t>In Ca²⁺</t>
        </is>
      </c>
      <c r="K49" s="11" t="inlineStr">
        <is>
          <t>In Mg²⁺</t>
        </is>
      </c>
      <c r="L49" s="11" t="inlineStr">
        <is>
          <t>In Cl⁻</t>
        </is>
      </c>
      <c r="M49" s="11" t="inlineStr">
        <is>
          <t>In PO₄³⁻</t>
        </is>
      </c>
      <c r="N49" s="11" t="inlineStr">
        <is>
          <t>In SO₄²⁻</t>
        </is>
      </c>
      <c r="O49" s="11" t="inlineStr">
        <is>
          <t>In Alk (CaCO₃)</t>
        </is>
      </c>
      <c r="P49" s="11" t="inlineStr">
        <is>
          <t>In Free Cl₂</t>
        </is>
      </c>
      <c r="Q49" s="11" t="inlineStr">
        <is>
          <t>In TSS</t>
        </is>
      </c>
      <c r="R49" s="11" t="inlineStr">
        <is>
          <t>In BOD₅</t>
        </is>
      </c>
      <c r="S49" s="11" t="inlineStr">
        <is>
          <t>In COD</t>
        </is>
      </c>
      <c r="T49" s="11" t="inlineStr">
        <is>
          <t>Reject / losses (gpd)</t>
        </is>
      </c>
      <c r="U49" s="11" t="inlineStr">
        <is>
          <t>Evaporation (gpd)</t>
        </is>
      </c>
      <c r="V49" s="11" t="inlineStr">
        <is>
          <t>Outflow Q_out (gpd)</t>
        </is>
      </c>
      <c r="W49" s="11" t="inlineStr">
        <is>
          <t>Out pH</t>
        </is>
      </c>
      <c r="X49" s="11" t="inlineStr">
        <is>
          <t>Out EC</t>
        </is>
      </c>
      <c r="Y49" s="11" t="inlineStr">
        <is>
          <t>Out TDS</t>
        </is>
      </c>
      <c r="Z49" s="11" t="inlineStr">
        <is>
          <t>Out SiO₂</t>
        </is>
      </c>
      <c r="AA49" s="11" t="inlineStr">
        <is>
          <t>Out Na⁺</t>
        </is>
      </c>
      <c r="AB49" s="11" t="inlineStr">
        <is>
          <t>Out Ca²⁺</t>
        </is>
      </c>
      <c r="AC49" s="11" t="inlineStr">
        <is>
          <t>Out Mg²⁺</t>
        </is>
      </c>
      <c r="AD49" s="11" t="inlineStr">
        <is>
          <t>Out Cl⁻</t>
        </is>
      </c>
      <c r="AE49" s="11" t="inlineStr">
        <is>
          <t>Out PO₄³⁻</t>
        </is>
      </c>
      <c r="AF49" s="11" t="inlineStr">
        <is>
          <t>Out SO₄²⁻</t>
        </is>
      </c>
      <c r="AG49" s="11" t="inlineStr">
        <is>
          <t>Out Alk (CaCO₃)</t>
        </is>
      </c>
      <c r="AH49" s="11" t="inlineStr">
        <is>
          <t>Out Free Cl₂</t>
        </is>
      </c>
      <c r="AI49" s="11" t="inlineStr">
        <is>
          <t>Out TSS</t>
        </is>
      </c>
      <c r="AJ49" s="11" t="inlineStr">
        <is>
          <t>Out BOD₅</t>
        </is>
      </c>
      <c r="AK49" s="11" t="inlineStr">
        <is>
          <t>Out COD</t>
        </is>
      </c>
      <c r="AL49" s="11" t="inlineStr">
        <is>
          <t>Flow balance check</t>
        </is>
      </c>
      <c r="AM49" s="11" t="inlineStr">
        <is>
          <t>TSS removed (kg/gal intake)</t>
        </is>
      </c>
    </row>
    <row r="50">
      <c r="B50" s="17" t="inlineStr">
        <is>
          <t>Raw Water Intake</t>
        </is>
      </c>
      <c r="C50" s="23">
        <f>'Process Flow Mass Balance'!$C$7</f>
        <v/>
      </c>
      <c r="D50" s="13">
        <f>IF('Dashboard'!$C$7='Dashboard'!$C$14,'Cooling Tower &amp; Corrugated Fill'!$C$84,'Cooling Tower &amp; Corrugated Fill'!$D$84)/'Process Flow Mass Balance'!$C$14</f>
        <v/>
      </c>
      <c r="E50" s="12">
        <f>'Source Library'!$J$7</f>
        <v/>
      </c>
      <c r="F50" s="12">
        <f>'Source Library'!$J$8</f>
        <v/>
      </c>
      <c r="G50" s="12">
        <f>'Source Library'!$J$9</f>
        <v/>
      </c>
      <c r="H50" s="12">
        <f>'Source Library'!$J$10</f>
        <v/>
      </c>
      <c r="I50" s="12">
        <f>'Source Library'!$J$11</f>
        <v/>
      </c>
      <c r="J50" s="12">
        <f>'Source Library'!$J$12</f>
        <v/>
      </c>
      <c r="K50" s="12">
        <f>'Source Library'!$J$13</f>
        <v/>
      </c>
      <c r="L50" s="12">
        <f>'Source Library'!$J$14</f>
        <v/>
      </c>
      <c r="M50" s="12">
        <f>'Source Library'!$J$15</f>
        <v/>
      </c>
      <c r="N50" s="12">
        <f>'Source Library'!$J$16</f>
        <v/>
      </c>
      <c r="O50" s="12">
        <f>'Source Library'!$J$17</f>
        <v/>
      </c>
      <c r="P50" s="12">
        <f>'Source Library'!$J$18</f>
        <v/>
      </c>
      <c r="Q50" s="12">
        <f>'Source Library'!$J$19</f>
        <v/>
      </c>
      <c r="R50" s="12">
        <f>'Source Library'!$J$20</f>
        <v/>
      </c>
      <c r="S50" s="12">
        <f>'Source Library'!$J$21</f>
        <v/>
      </c>
      <c r="T50" s="13">
        <f>D50-V50</f>
        <v/>
      </c>
      <c r="U50" s="13" t="n">
        <v>0</v>
      </c>
      <c r="V50" s="13">
        <f>D50*'Process Flow Mass Balance'!$J$7</f>
        <v/>
      </c>
      <c r="W50" s="12">
        <f>IF(AND(C50=1,ISNUMBER('Process Flow Mass Balance'!$I$7)),'Process Flow Mass Balance'!$I$7,E50)</f>
        <v/>
      </c>
      <c r="X50" s="12">
        <f>IF(C50=1,MAX(0,('Process Flow Mass Balance'!$K$7*F50*(1-'Process Flow Mass Balance'!$C$32)+'Process Flow Mass Balance'!$C$41*'Process Flow Mass Balance'!$K$7)/('Process Flow Mass Balance'!$K$7*'Process Flow Mass Balance'!$J$7)),F50)</f>
        <v/>
      </c>
      <c r="Y50" s="12">
        <f>IF(C50=1,MAX(0,('Process Flow Mass Balance'!$K$7*G50*(1-'Process Flow Mass Balance'!$D$32)+'Process Flow Mass Balance'!$D$41*'Process Flow Mass Balance'!$K$7)/('Process Flow Mass Balance'!$K$7*'Process Flow Mass Balance'!$J$7)),G50)</f>
        <v/>
      </c>
      <c r="Z50" s="12">
        <f>IF(C50=1,MAX(0,('Process Flow Mass Balance'!$K$7*H50*(1-'Process Flow Mass Balance'!$E$32)+'Process Flow Mass Balance'!$E$41*'Process Flow Mass Balance'!$K$7)/('Process Flow Mass Balance'!$K$7*'Process Flow Mass Balance'!$J$7)),H50)</f>
        <v/>
      </c>
      <c r="AA50" s="12">
        <f>IF(C50=1,MAX(0,('Process Flow Mass Balance'!$K$7*I50*(1-'Process Flow Mass Balance'!$F$32)+'Process Flow Mass Balance'!$F$41*'Process Flow Mass Balance'!$K$7)/('Process Flow Mass Balance'!$K$7*'Process Flow Mass Balance'!$J$7)),I50)</f>
        <v/>
      </c>
      <c r="AB50" s="12">
        <f>IF(C50=1,MAX(0,('Process Flow Mass Balance'!$K$7*J50*(1-'Process Flow Mass Balance'!$G$32)+'Process Flow Mass Balance'!$G$41*'Process Flow Mass Balance'!$K$7)/('Process Flow Mass Balance'!$K$7*'Process Flow Mass Balance'!$J$7)),J50)</f>
        <v/>
      </c>
      <c r="AC50" s="12">
        <f>IF(C50=1,MAX(0,('Process Flow Mass Balance'!$K$7*K50*(1-'Process Flow Mass Balance'!$H$32)+'Process Flow Mass Balance'!$H$41*'Process Flow Mass Balance'!$K$7)/('Process Flow Mass Balance'!$K$7*'Process Flow Mass Balance'!$J$7)),K50)</f>
        <v/>
      </c>
      <c r="AD50" s="12">
        <f>IF(C50=1,MAX(0,('Process Flow Mass Balance'!$K$7*L50*(1-'Process Flow Mass Balance'!$I$32)+'Process Flow Mass Balance'!$I$41*'Process Flow Mass Balance'!$K$7)/('Process Flow Mass Balance'!$K$7*'Process Flow Mass Balance'!$J$7)),L50)</f>
        <v/>
      </c>
      <c r="AE50" s="12">
        <f>IF(C50=1,MAX(0,('Process Flow Mass Balance'!$K$7*M50*(1-'Process Flow Mass Balance'!$J$32)+'Process Flow Mass Balance'!$J$41*'Process Flow Mass Balance'!$K$7)/('Process Flow Mass Balance'!$K$7*'Process Flow Mass Balance'!$J$7)),M50)</f>
        <v/>
      </c>
      <c r="AF50" s="12">
        <f>IF(C50=1,MAX(0,('Process Flow Mass Balance'!$K$7*N50*(1-'Process Flow Mass Balance'!$K$32)+'Process Flow Mass Balance'!$K$41*'Process Flow Mass Balance'!$K$7)/('Process Flow Mass Balance'!$K$7*'Process Flow Mass Balance'!$J$7)),N50)</f>
        <v/>
      </c>
      <c r="AG50" s="12">
        <f>IF(C50=1,MAX(0,('Process Flow Mass Balance'!$K$7*O50*(1-'Process Flow Mass Balance'!$L$32)+'Process Flow Mass Balance'!$L$41*'Process Flow Mass Balance'!$K$7)/('Process Flow Mass Balance'!$K$7*'Process Flow Mass Balance'!$J$7)),O50)</f>
        <v/>
      </c>
      <c r="AH50" s="12">
        <f>IF(C50=1,MAX(0,('Process Flow Mass Balance'!$K$7*P50*(1-'Process Flow Mass Balance'!$M$32)+'Process Flow Mass Balance'!$M$41*'Process Flow Mass Balance'!$K$7)/('Process Flow Mass Balance'!$K$7*'Process Flow Mass Balance'!$J$7)),P50)</f>
        <v/>
      </c>
      <c r="AI50" s="12">
        <f>IF(C50=1,MAX(0,('Process Flow Mass Balance'!$K$7*Q50*(1-'Process Flow Mass Balance'!$N$32)+'Process Flow Mass Balance'!$N$41*'Process Flow Mass Balance'!$K$7)/('Process Flow Mass Balance'!$K$7*'Process Flow Mass Balance'!$J$7)),Q50)</f>
        <v/>
      </c>
      <c r="AJ50" s="12">
        <f>IF(C50=1,MAX(0,('Process Flow Mass Balance'!$K$7*R50*(1-'Process Flow Mass Balance'!$O$32)+'Process Flow Mass Balance'!$O$41*'Process Flow Mass Balance'!$K$7)/('Process Flow Mass Balance'!$K$7*'Process Flow Mass Balance'!$J$7)),R50)</f>
        <v/>
      </c>
      <c r="AK50" s="12">
        <f>IF(C50=1,MAX(0,('Process Flow Mass Balance'!$K$7*S50*(1-'Process Flow Mass Balance'!$P$32)+'Process Flow Mass Balance'!$P$41*'Process Flow Mass Balance'!$K$7)/('Process Flow Mass Balance'!$K$7*'Process Flow Mass Balance'!$J$7)),S50)</f>
        <v/>
      </c>
      <c r="AL50" s="17">
        <f>IF(ABS(D50-T50-U50-V50)&lt;0.001,"✅","❌")</f>
        <v/>
      </c>
      <c r="AM50" s="16">
        <f>IF(C50=1,'Process Flow Mass Balance'!$K$7*Q50*'Process Flow Mass Balance'!$N$32,0)*3.78541/1000000</f>
        <v/>
      </c>
    </row>
    <row r="51">
      <c r="B51" s="17" t="inlineStr">
        <is>
          <t>Coagulation / Flocculation / Sedimentation</t>
        </is>
      </c>
      <c r="C51" s="23">
        <f>'Process Flow Mass Balance'!$C$8</f>
        <v/>
      </c>
      <c r="D51" s="13">
        <f>'Process Flow Mass Balance'!$V$50</f>
        <v/>
      </c>
      <c r="E51" s="12">
        <f>'Process Flow Mass Balance'!$W$50</f>
        <v/>
      </c>
      <c r="F51" s="12">
        <f>'Process Flow Mass Balance'!$X$50</f>
        <v/>
      </c>
      <c r="G51" s="12">
        <f>'Process Flow Mass Balance'!$Y$50</f>
        <v/>
      </c>
      <c r="H51" s="12">
        <f>'Process Flow Mass Balance'!$Z$50</f>
        <v/>
      </c>
      <c r="I51" s="12">
        <f>'Process Flow Mass Balance'!$AA$50</f>
        <v/>
      </c>
      <c r="J51" s="12">
        <f>'Process Flow Mass Balance'!$AB$50</f>
        <v/>
      </c>
      <c r="K51" s="12">
        <f>'Process Flow Mass Balance'!$AC$50</f>
        <v/>
      </c>
      <c r="L51" s="12">
        <f>'Process Flow Mass Balance'!$AD$50</f>
        <v/>
      </c>
      <c r="M51" s="12">
        <f>'Process Flow Mass Balance'!$AE$50</f>
        <v/>
      </c>
      <c r="N51" s="12">
        <f>'Process Flow Mass Balance'!$AF$50</f>
        <v/>
      </c>
      <c r="O51" s="12">
        <f>'Process Flow Mass Balance'!$AG$50</f>
        <v/>
      </c>
      <c r="P51" s="12">
        <f>'Process Flow Mass Balance'!$AH$50</f>
        <v/>
      </c>
      <c r="Q51" s="12">
        <f>'Process Flow Mass Balance'!$AI$50</f>
        <v/>
      </c>
      <c r="R51" s="12">
        <f>'Process Flow Mass Balance'!$AJ$50</f>
        <v/>
      </c>
      <c r="S51" s="12">
        <f>'Process Flow Mass Balance'!$AK$50</f>
        <v/>
      </c>
      <c r="T51" s="13">
        <f>D51-V51</f>
        <v/>
      </c>
      <c r="U51" s="13" t="n">
        <v>0</v>
      </c>
      <c r="V51" s="13">
        <f>D51*'Process Flow Mass Balance'!$J$8</f>
        <v/>
      </c>
      <c r="W51" s="12">
        <f>IF(AND(C51=1,ISNUMBER('Process Flow Mass Balance'!$I$8)),'Process Flow Mass Balance'!$I$8,E51)</f>
        <v/>
      </c>
      <c r="X51" s="12">
        <f>IF(C51=1,MAX(0,('Process Flow Mass Balance'!$K$8*F51*(1-'Process Flow Mass Balance'!$C$33)+'Process Flow Mass Balance'!$C$42*'Process Flow Mass Balance'!$K$8)/('Process Flow Mass Balance'!$K$8*'Process Flow Mass Balance'!$J$8)),F51)</f>
        <v/>
      </c>
      <c r="Y51" s="12">
        <f>IF(C51=1,MAX(0,('Process Flow Mass Balance'!$K$8*G51*(1-'Process Flow Mass Balance'!$D$33)+'Process Flow Mass Balance'!$D$42*'Process Flow Mass Balance'!$K$8)/('Process Flow Mass Balance'!$K$8*'Process Flow Mass Balance'!$J$8)),G51)</f>
        <v/>
      </c>
      <c r="Z51" s="12">
        <f>IF(C51=1,MAX(0,('Process Flow Mass Balance'!$K$8*H51*(1-'Process Flow Mass Balance'!$E$33)+'Process Flow Mass Balance'!$E$42*'Process Flow Mass Balance'!$K$8)/('Process Flow Mass Balance'!$K$8*'Process Flow Mass Balance'!$J$8)),H51)</f>
        <v/>
      </c>
      <c r="AA51" s="12">
        <f>IF(C51=1,MAX(0,('Process Flow Mass Balance'!$K$8*I51*(1-'Process Flow Mass Balance'!$F$33)+'Process Flow Mass Balance'!$F$42*'Process Flow Mass Balance'!$K$8)/('Process Flow Mass Balance'!$K$8*'Process Flow Mass Balance'!$J$8)),I51)</f>
        <v/>
      </c>
      <c r="AB51" s="12">
        <f>IF(C51=1,MAX(0,('Process Flow Mass Balance'!$K$8*J51*(1-'Process Flow Mass Balance'!$G$33)+'Process Flow Mass Balance'!$G$42*'Process Flow Mass Balance'!$K$8)/('Process Flow Mass Balance'!$K$8*'Process Flow Mass Balance'!$J$8)),J51)</f>
        <v/>
      </c>
      <c r="AC51" s="12">
        <f>IF(C51=1,MAX(0,('Process Flow Mass Balance'!$K$8*K51*(1-'Process Flow Mass Balance'!$H$33)+'Process Flow Mass Balance'!$H$42*'Process Flow Mass Balance'!$K$8)/('Process Flow Mass Balance'!$K$8*'Process Flow Mass Balance'!$J$8)),K51)</f>
        <v/>
      </c>
      <c r="AD51" s="12">
        <f>IF(C51=1,MAX(0,('Process Flow Mass Balance'!$K$8*L51*(1-'Process Flow Mass Balance'!$I$33)+'Process Flow Mass Balance'!$I$42*'Process Flow Mass Balance'!$K$8)/('Process Flow Mass Balance'!$K$8*'Process Flow Mass Balance'!$J$8)),L51)</f>
        <v/>
      </c>
      <c r="AE51" s="12">
        <f>IF(C51=1,MAX(0,('Process Flow Mass Balance'!$K$8*M51*(1-'Process Flow Mass Balance'!$J$33)+'Process Flow Mass Balance'!$J$42*'Process Flow Mass Balance'!$K$8)/('Process Flow Mass Balance'!$K$8*'Process Flow Mass Balance'!$J$8)),M51)</f>
        <v/>
      </c>
      <c r="AF51" s="12">
        <f>IF(C51=1,MAX(0,('Process Flow Mass Balance'!$K$8*N51*(1-'Process Flow Mass Balance'!$K$33)+'Process Flow Mass Balance'!$K$42*'Process Flow Mass Balance'!$K$8)/('Process Flow Mass Balance'!$K$8*'Process Flow Mass Balance'!$J$8)),N51)</f>
        <v/>
      </c>
      <c r="AG51" s="12">
        <f>IF(C51=1,MAX(0,('Process Flow Mass Balance'!$K$8*O51*(1-'Process Flow Mass Balance'!$L$33)+'Process Flow Mass Balance'!$L$42*'Process Flow Mass Balance'!$K$8)/('Process Flow Mass Balance'!$K$8*'Process Flow Mass Balance'!$J$8)),O51)</f>
        <v/>
      </c>
      <c r="AH51" s="12">
        <f>IF(C51=1,MAX(0,('Process Flow Mass Balance'!$K$8*P51*(1-'Process Flow Mass Balance'!$M$33)+'Process Flow Mass Balance'!$M$42*'Process Flow Mass Balance'!$K$8)/('Process Flow Mass Balance'!$K$8*'Process Flow Mass Balance'!$J$8)),P51)</f>
        <v/>
      </c>
      <c r="AI51" s="12">
        <f>IF(C51=1,MAX(0,('Process Flow Mass Balance'!$K$8*Q51*(1-'Process Flow Mass Balance'!$N$33)+'Process Flow Mass Balance'!$N$42*'Process Flow Mass Balance'!$K$8)/('Process Flow Mass Balance'!$K$8*'Process Flow Mass Balance'!$J$8)),Q51)</f>
        <v/>
      </c>
      <c r="AJ51" s="12">
        <f>IF(C51=1,MAX(0,('Process Flow Mass Balance'!$K$8*R51*(1-'Process Flow Mass Balance'!$O$33)+'Process Flow Mass Balance'!$O$42*'Process Flow Mass Balance'!$K$8)/('Process Flow Mass Balance'!$K$8*'Process Flow Mass Balance'!$J$8)),R51)</f>
        <v/>
      </c>
      <c r="AK51" s="12">
        <f>IF(C51=1,MAX(0,('Process Flow Mass Balance'!$K$8*S51*(1-'Process Flow Mass Balance'!$P$33)+'Process Flow Mass Balance'!$P$42*'Process Flow Mass Balance'!$K$8)/('Process Flow Mass Balance'!$K$8*'Process Flow Mass Balance'!$J$8)),S51)</f>
        <v/>
      </c>
      <c r="AL51" s="17">
        <f>IF(ABS(D51-T51-U51-V51)&lt;0.001,"✅","❌")</f>
        <v/>
      </c>
      <c r="AM51" s="16">
        <f>IF(C51=1,'Process Flow Mass Balance'!$K$8*Q51*'Process Flow Mass Balance'!$N$33,0)*3.78541/1000000</f>
        <v/>
      </c>
    </row>
    <row r="52">
      <c r="B52" s="17" t="inlineStr">
        <is>
          <t>Multi-Media Filtration</t>
        </is>
      </c>
      <c r="C52" s="23">
        <f>'Process Flow Mass Balance'!$C$9</f>
        <v/>
      </c>
      <c r="D52" s="13">
        <f>'Process Flow Mass Balance'!$V$51</f>
        <v/>
      </c>
      <c r="E52" s="12">
        <f>'Process Flow Mass Balance'!$W$51</f>
        <v/>
      </c>
      <c r="F52" s="12">
        <f>'Process Flow Mass Balance'!$X$51</f>
        <v/>
      </c>
      <c r="G52" s="12">
        <f>'Process Flow Mass Balance'!$Y$51</f>
        <v/>
      </c>
      <c r="H52" s="12">
        <f>'Process Flow Mass Balance'!$Z$51</f>
        <v/>
      </c>
      <c r="I52" s="12">
        <f>'Process Flow Mass Balance'!$AA$51</f>
        <v/>
      </c>
      <c r="J52" s="12">
        <f>'Process Flow Mass Balance'!$AB$51</f>
        <v/>
      </c>
      <c r="K52" s="12">
        <f>'Process Flow Mass Balance'!$AC$51</f>
        <v/>
      </c>
      <c r="L52" s="12">
        <f>'Process Flow Mass Balance'!$AD$51</f>
        <v/>
      </c>
      <c r="M52" s="12">
        <f>'Process Flow Mass Balance'!$AE$51</f>
        <v/>
      </c>
      <c r="N52" s="12">
        <f>'Process Flow Mass Balance'!$AF$51</f>
        <v/>
      </c>
      <c r="O52" s="12">
        <f>'Process Flow Mass Balance'!$AG$51</f>
        <v/>
      </c>
      <c r="P52" s="12">
        <f>'Process Flow Mass Balance'!$AH$51</f>
        <v/>
      </c>
      <c r="Q52" s="12">
        <f>'Process Flow Mass Balance'!$AI$51</f>
        <v/>
      </c>
      <c r="R52" s="12">
        <f>'Process Flow Mass Balance'!$AJ$51</f>
        <v/>
      </c>
      <c r="S52" s="12">
        <f>'Process Flow Mass Balance'!$AK$51</f>
        <v/>
      </c>
      <c r="T52" s="13">
        <f>D52-V52</f>
        <v/>
      </c>
      <c r="U52" s="13" t="n">
        <v>0</v>
      </c>
      <c r="V52" s="13">
        <f>D52*'Process Flow Mass Balance'!$J$9</f>
        <v/>
      </c>
      <c r="W52" s="12">
        <f>IF(AND(C52=1,ISNUMBER('Process Flow Mass Balance'!$I$9)),'Process Flow Mass Balance'!$I$9,E52)</f>
        <v/>
      </c>
      <c r="X52" s="12">
        <f>IF(C52=1,MAX(0,('Process Flow Mass Balance'!$K$9*F52*(1-'Process Flow Mass Balance'!$C$34)+'Process Flow Mass Balance'!$C$43*'Process Flow Mass Balance'!$K$9)/('Process Flow Mass Balance'!$K$9*'Process Flow Mass Balance'!$J$9)),F52)</f>
        <v/>
      </c>
      <c r="Y52" s="12">
        <f>IF(C52=1,MAX(0,('Process Flow Mass Balance'!$K$9*G52*(1-'Process Flow Mass Balance'!$D$34)+'Process Flow Mass Balance'!$D$43*'Process Flow Mass Balance'!$K$9)/('Process Flow Mass Balance'!$K$9*'Process Flow Mass Balance'!$J$9)),G52)</f>
        <v/>
      </c>
      <c r="Z52" s="12">
        <f>IF(C52=1,MAX(0,('Process Flow Mass Balance'!$K$9*H52*(1-'Process Flow Mass Balance'!$E$34)+'Process Flow Mass Balance'!$E$43*'Process Flow Mass Balance'!$K$9)/('Process Flow Mass Balance'!$K$9*'Process Flow Mass Balance'!$J$9)),H52)</f>
        <v/>
      </c>
      <c r="AA52" s="12">
        <f>IF(C52=1,MAX(0,('Process Flow Mass Balance'!$K$9*I52*(1-'Process Flow Mass Balance'!$F$34)+'Process Flow Mass Balance'!$F$43*'Process Flow Mass Balance'!$K$9)/('Process Flow Mass Balance'!$K$9*'Process Flow Mass Balance'!$J$9)),I52)</f>
        <v/>
      </c>
      <c r="AB52" s="12">
        <f>IF(C52=1,MAX(0,('Process Flow Mass Balance'!$K$9*J52*(1-'Process Flow Mass Balance'!$G$34)+'Process Flow Mass Balance'!$G$43*'Process Flow Mass Balance'!$K$9)/('Process Flow Mass Balance'!$K$9*'Process Flow Mass Balance'!$J$9)),J52)</f>
        <v/>
      </c>
      <c r="AC52" s="12">
        <f>IF(C52=1,MAX(0,('Process Flow Mass Balance'!$K$9*K52*(1-'Process Flow Mass Balance'!$H$34)+'Process Flow Mass Balance'!$H$43*'Process Flow Mass Balance'!$K$9)/('Process Flow Mass Balance'!$K$9*'Process Flow Mass Balance'!$J$9)),K52)</f>
        <v/>
      </c>
      <c r="AD52" s="12">
        <f>IF(C52=1,MAX(0,('Process Flow Mass Balance'!$K$9*L52*(1-'Process Flow Mass Balance'!$I$34)+'Process Flow Mass Balance'!$I$43*'Process Flow Mass Balance'!$K$9)/('Process Flow Mass Balance'!$K$9*'Process Flow Mass Balance'!$J$9)),L52)</f>
        <v/>
      </c>
      <c r="AE52" s="12">
        <f>IF(C52=1,MAX(0,('Process Flow Mass Balance'!$K$9*M52*(1-'Process Flow Mass Balance'!$J$34)+'Process Flow Mass Balance'!$J$43*'Process Flow Mass Balance'!$K$9)/('Process Flow Mass Balance'!$K$9*'Process Flow Mass Balance'!$J$9)),M52)</f>
        <v/>
      </c>
      <c r="AF52" s="12">
        <f>IF(C52=1,MAX(0,('Process Flow Mass Balance'!$K$9*N52*(1-'Process Flow Mass Balance'!$K$34)+'Process Flow Mass Balance'!$K$43*'Process Flow Mass Balance'!$K$9)/('Process Flow Mass Balance'!$K$9*'Process Flow Mass Balance'!$J$9)),N52)</f>
        <v/>
      </c>
      <c r="AG52" s="12">
        <f>IF(C52=1,MAX(0,('Process Flow Mass Balance'!$K$9*O52*(1-'Process Flow Mass Balance'!$L$34)+'Process Flow Mass Balance'!$L$43*'Process Flow Mass Balance'!$K$9)/('Process Flow Mass Balance'!$K$9*'Process Flow Mass Balance'!$J$9)),O52)</f>
        <v/>
      </c>
      <c r="AH52" s="12">
        <f>IF(C52=1,MAX(0,('Process Flow Mass Balance'!$K$9*P52*(1-'Process Flow Mass Balance'!$M$34)+'Process Flow Mass Balance'!$M$43*'Process Flow Mass Balance'!$K$9)/('Process Flow Mass Balance'!$K$9*'Process Flow Mass Balance'!$J$9)),P52)</f>
        <v/>
      </c>
      <c r="AI52" s="12">
        <f>IF(C52=1,MAX(0,('Process Flow Mass Balance'!$K$9*Q52*(1-'Process Flow Mass Balance'!$N$34)+'Process Flow Mass Balance'!$N$43*'Process Flow Mass Balance'!$K$9)/('Process Flow Mass Balance'!$K$9*'Process Flow Mass Balance'!$J$9)),Q52)</f>
        <v/>
      </c>
      <c r="AJ52" s="12">
        <f>IF(C52=1,MAX(0,('Process Flow Mass Balance'!$K$9*R52*(1-'Process Flow Mass Balance'!$O$34)+'Process Flow Mass Balance'!$O$43*'Process Flow Mass Balance'!$K$9)/('Process Flow Mass Balance'!$K$9*'Process Flow Mass Balance'!$J$9)),R52)</f>
        <v/>
      </c>
      <c r="AK52" s="12">
        <f>IF(C52=1,MAX(0,('Process Flow Mass Balance'!$K$9*S52*(1-'Process Flow Mass Balance'!$P$34)+'Process Flow Mass Balance'!$P$43*'Process Flow Mass Balance'!$K$9)/('Process Flow Mass Balance'!$K$9*'Process Flow Mass Balance'!$J$9)),S52)</f>
        <v/>
      </c>
      <c r="AL52" s="17">
        <f>IF(ABS(D52-T52-U52-V52)&lt;0.001,"✅","❌")</f>
        <v/>
      </c>
      <c r="AM52" s="16">
        <f>IF(C52=1,'Process Flow Mass Balance'!$K$9*Q52*'Process Flow Mass Balance'!$N$34,0)*3.78541/1000000</f>
        <v/>
      </c>
    </row>
    <row r="53">
      <c r="B53" s="17" t="inlineStr">
        <is>
          <t>Ultrafiltration</t>
        </is>
      </c>
      <c r="C53" s="23">
        <f>'Process Flow Mass Balance'!$C$10</f>
        <v/>
      </c>
      <c r="D53" s="13">
        <f>'Process Flow Mass Balance'!$V$52</f>
        <v/>
      </c>
      <c r="E53" s="12">
        <f>'Process Flow Mass Balance'!$W$52</f>
        <v/>
      </c>
      <c r="F53" s="12">
        <f>'Process Flow Mass Balance'!$X$52</f>
        <v/>
      </c>
      <c r="G53" s="12">
        <f>'Process Flow Mass Balance'!$Y$52</f>
        <v/>
      </c>
      <c r="H53" s="12">
        <f>'Process Flow Mass Balance'!$Z$52</f>
        <v/>
      </c>
      <c r="I53" s="12">
        <f>'Process Flow Mass Balance'!$AA$52</f>
        <v/>
      </c>
      <c r="J53" s="12">
        <f>'Process Flow Mass Balance'!$AB$52</f>
        <v/>
      </c>
      <c r="K53" s="12">
        <f>'Process Flow Mass Balance'!$AC$52</f>
        <v/>
      </c>
      <c r="L53" s="12">
        <f>'Process Flow Mass Balance'!$AD$52</f>
        <v/>
      </c>
      <c r="M53" s="12">
        <f>'Process Flow Mass Balance'!$AE$52</f>
        <v/>
      </c>
      <c r="N53" s="12">
        <f>'Process Flow Mass Balance'!$AF$52</f>
        <v/>
      </c>
      <c r="O53" s="12">
        <f>'Process Flow Mass Balance'!$AG$52</f>
        <v/>
      </c>
      <c r="P53" s="12">
        <f>'Process Flow Mass Balance'!$AH$52</f>
        <v/>
      </c>
      <c r="Q53" s="12">
        <f>'Process Flow Mass Balance'!$AI$52</f>
        <v/>
      </c>
      <c r="R53" s="12">
        <f>'Process Flow Mass Balance'!$AJ$52</f>
        <v/>
      </c>
      <c r="S53" s="12">
        <f>'Process Flow Mass Balance'!$AK$52</f>
        <v/>
      </c>
      <c r="T53" s="13">
        <f>D53-V53</f>
        <v/>
      </c>
      <c r="U53" s="13" t="n">
        <v>0</v>
      </c>
      <c r="V53" s="13">
        <f>D53*'Process Flow Mass Balance'!$J$10</f>
        <v/>
      </c>
      <c r="W53" s="12">
        <f>IF(AND(C53=1,ISNUMBER('Process Flow Mass Balance'!$I$10)),'Process Flow Mass Balance'!$I$10,E53)</f>
        <v/>
      </c>
      <c r="X53" s="12">
        <f>IF(C53=1,MAX(0,('Process Flow Mass Balance'!$K$10*F53*(1-'Process Flow Mass Balance'!$C$35)+'Process Flow Mass Balance'!$C$44*'Process Flow Mass Balance'!$K$10)/('Process Flow Mass Balance'!$K$10*'Process Flow Mass Balance'!$J$10)),F53)</f>
        <v/>
      </c>
      <c r="Y53" s="12">
        <f>IF(C53=1,MAX(0,('Process Flow Mass Balance'!$K$10*G53*(1-'Process Flow Mass Balance'!$D$35)+'Process Flow Mass Balance'!$D$44*'Process Flow Mass Balance'!$K$10)/('Process Flow Mass Balance'!$K$10*'Process Flow Mass Balance'!$J$10)),G53)</f>
        <v/>
      </c>
      <c r="Z53" s="12">
        <f>IF(C53=1,MAX(0,('Process Flow Mass Balance'!$K$10*H53*(1-'Process Flow Mass Balance'!$E$35)+'Process Flow Mass Balance'!$E$44*'Process Flow Mass Balance'!$K$10)/('Process Flow Mass Balance'!$K$10*'Process Flow Mass Balance'!$J$10)),H53)</f>
        <v/>
      </c>
      <c r="AA53" s="12">
        <f>IF(C53=1,MAX(0,('Process Flow Mass Balance'!$K$10*I53*(1-'Process Flow Mass Balance'!$F$35)+'Process Flow Mass Balance'!$F$44*'Process Flow Mass Balance'!$K$10)/('Process Flow Mass Balance'!$K$10*'Process Flow Mass Balance'!$J$10)),I53)</f>
        <v/>
      </c>
      <c r="AB53" s="12">
        <f>IF(C53=1,MAX(0,('Process Flow Mass Balance'!$K$10*J53*(1-'Process Flow Mass Balance'!$G$35)+'Process Flow Mass Balance'!$G$44*'Process Flow Mass Balance'!$K$10)/('Process Flow Mass Balance'!$K$10*'Process Flow Mass Balance'!$J$10)),J53)</f>
        <v/>
      </c>
      <c r="AC53" s="12">
        <f>IF(C53=1,MAX(0,('Process Flow Mass Balance'!$K$10*K53*(1-'Process Flow Mass Balance'!$H$35)+'Process Flow Mass Balance'!$H$44*'Process Flow Mass Balance'!$K$10)/('Process Flow Mass Balance'!$K$10*'Process Flow Mass Balance'!$J$10)),K53)</f>
        <v/>
      </c>
      <c r="AD53" s="12">
        <f>IF(C53=1,MAX(0,('Process Flow Mass Balance'!$K$10*L53*(1-'Process Flow Mass Balance'!$I$35)+'Process Flow Mass Balance'!$I$44*'Process Flow Mass Balance'!$K$10)/('Process Flow Mass Balance'!$K$10*'Process Flow Mass Balance'!$J$10)),L53)</f>
        <v/>
      </c>
      <c r="AE53" s="12">
        <f>IF(C53=1,MAX(0,('Process Flow Mass Balance'!$K$10*M53*(1-'Process Flow Mass Balance'!$J$35)+'Process Flow Mass Balance'!$J$44*'Process Flow Mass Balance'!$K$10)/('Process Flow Mass Balance'!$K$10*'Process Flow Mass Balance'!$J$10)),M53)</f>
        <v/>
      </c>
      <c r="AF53" s="12">
        <f>IF(C53=1,MAX(0,('Process Flow Mass Balance'!$K$10*N53*(1-'Process Flow Mass Balance'!$K$35)+'Process Flow Mass Balance'!$K$44*'Process Flow Mass Balance'!$K$10)/('Process Flow Mass Balance'!$K$10*'Process Flow Mass Balance'!$J$10)),N53)</f>
        <v/>
      </c>
      <c r="AG53" s="12">
        <f>IF(C53=1,MAX(0,('Process Flow Mass Balance'!$K$10*O53*(1-'Process Flow Mass Balance'!$L$35)+'Process Flow Mass Balance'!$L$44*'Process Flow Mass Balance'!$K$10)/('Process Flow Mass Balance'!$K$10*'Process Flow Mass Balance'!$J$10)),O53)</f>
        <v/>
      </c>
      <c r="AH53" s="12">
        <f>IF(C53=1,MAX(0,('Process Flow Mass Balance'!$K$10*P53*(1-'Process Flow Mass Balance'!$M$35)+'Process Flow Mass Balance'!$M$44*'Process Flow Mass Balance'!$K$10)/('Process Flow Mass Balance'!$K$10*'Process Flow Mass Balance'!$J$10)),P53)</f>
        <v/>
      </c>
      <c r="AI53" s="12">
        <f>IF(C53=1,MAX(0,('Process Flow Mass Balance'!$K$10*Q53*(1-'Process Flow Mass Balance'!$N$35)+'Process Flow Mass Balance'!$N$44*'Process Flow Mass Balance'!$K$10)/('Process Flow Mass Balance'!$K$10*'Process Flow Mass Balance'!$J$10)),Q53)</f>
        <v/>
      </c>
      <c r="AJ53" s="12">
        <f>IF(C53=1,MAX(0,('Process Flow Mass Balance'!$K$10*R53*(1-'Process Flow Mass Balance'!$O$35)+'Process Flow Mass Balance'!$O$44*'Process Flow Mass Balance'!$K$10)/('Process Flow Mass Balance'!$K$10*'Process Flow Mass Balance'!$J$10)),R53)</f>
        <v/>
      </c>
      <c r="AK53" s="12">
        <f>IF(C53=1,MAX(0,('Process Flow Mass Balance'!$K$10*S53*(1-'Process Flow Mass Balance'!$P$35)+'Process Flow Mass Balance'!$P$44*'Process Flow Mass Balance'!$K$10)/('Process Flow Mass Balance'!$K$10*'Process Flow Mass Balance'!$J$10)),S53)</f>
        <v/>
      </c>
      <c r="AL53" s="17">
        <f>IF(ABS(D53-T53-U53-V53)&lt;0.001,"✅","❌")</f>
        <v/>
      </c>
      <c r="AM53" s="16">
        <f>IF(C53=1,'Process Flow Mass Balance'!$K$10*Q53*'Process Flow Mass Balance'!$N$35,0)*3.78541/1000000</f>
        <v/>
      </c>
    </row>
    <row r="54">
      <c r="B54" s="17" t="inlineStr">
        <is>
          <t>RO / IX Demineralization</t>
        </is>
      </c>
      <c r="C54" s="23">
        <f>'Process Flow Mass Balance'!$C$11</f>
        <v/>
      </c>
      <c r="D54" s="13">
        <f>'Process Flow Mass Balance'!$V$53</f>
        <v/>
      </c>
      <c r="E54" s="12">
        <f>'Process Flow Mass Balance'!$W$53</f>
        <v/>
      </c>
      <c r="F54" s="12">
        <f>'Process Flow Mass Balance'!$X$53</f>
        <v/>
      </c>
      <c r="G54" s="12">
        <f>'Process Flow Mass Balance'!$Y$53</f>
        <v/>
      </c>
      <c r="H54" s="12">
        <f>'Process Flow Mass Balance'!$Z$53</f>
        <v/>
      </c>
      <c r="I54" s="12">
        <f>'Process Flow Mass Balance'!$AA$53</f>
        <v/>
      </c>
      <c r="J54" s="12">
        <f>'Process Flow Mass Balance'!$AB$53</f>
        <v/>
      </c>
      <c r="K54" s="12">
        <f>'Process Flow Mass Balance'!$AC$53</f>
        <v/>
      </c>
      <c r="L54" s="12">
        <f>'Process Flow Mass Balance'!$AD$53</f>
        <v/>
      </c>
      <c r="M54" s="12">
        <f>'Process Flow Mass Balance'!$AE$53</f>
        <v/>
      </c>
      <c r="N54" s="12">
        <f>'Process Flow Mass Balance'!$AF$53</f>
        <v/>
      </c>
      <c r="O54" s="12">
        <f>'Process Flow Mass Balance'!$AG$53</f>
        <v/>
      </c>
      <c r="P54" s="12">
        <f>'Process Flow Mass Balance'!$AH$53</f>
        <v/>
      </c>
      <c r="Q54" s="12">
        <f>'Process Flow Mass Balance'!$AI$53</f>
        <v/>
      </c>
      <c r="R54" s="12">
        <f>'Process Flow Mass Balance'!$AJ$53</f>
        <v/>
      </c>
      <c r="S54" s="12">
        <f>'Process Flow Mass Balance'!$AK$53</f>
        <v/>
      </c>
      <c r="T54" s="13">
        <f>D54-V54</f>
        <v/>
      </c>
      <c r="U54" s="13" t="n">
        <v>0</v>
      </c>
      <c r="V54" s="13">
        <f>D54*'Process Flow Mass Balance'!$J$11</f>
        <v/>
      </c>
      <c r="W54" s="12">
        <f>IF(AND(C54=1,ISNUMBER('Process Flow Mass Balance'!$I$11)),'Process Flow Mass Balance'!$I$11,E54)</f>
        <v/>
      </c>
      <c r="X54" s="12">
        <f>IF(C54=1,MAX(0,('Process Flow Mass Balance'!$K$11*F54*(1-'Process Flow Mass Balance'!$C$36)+'Process Flow Mass Balance'!$C$45*'Process Flow Mass Balance'!$K$11)/('Process Flow Mass Balance'!$K$11*'Process Flow Mass Balance'!$J$11)),F54)</f>
        <v/>
      </c>
      <c r="Y54" s="12">
        <f>IF(C54=1,MAX(0,('Process Flow Mass Balance'!$K$11*G54*(1-'Process Flow Mass Balance'!$D$36)+'Process Flow Mass Balance'!$D$45*'Process Flow Mass Balance'!$K$11)/('Process Flow Mass Balance'!$K$11*'Process Flow Mass Balance'!$J$11)),G54)</f>
        <v/>
      </c>
      <c r="Z54" s="12">
        <f>IF(C54=1,MAX(0,('Process Flow Mass Balance'!$K$11*H54*(1-'Process Flow Mass Balance'!$E$36)+'Process Flow Mass Balance'!$E$45*'Process Flow Mass Balance'!$K$11)/('Process Flow Mass Balance'!$K$11*'Process Flow Mass Balance'!$J$11)),H54)</f>
        <v/>
      </c>
      <c r="AA54" s="12">
        <f>IF(C54=1,MAX(0,('Process Flow Mass Balance'!$K$11*I54*(1-'Process Flow Mass Balance'!$F$36)+'Process Flow Mass Balance'!$F$45*'Process Flow Mass Balance'!$K$11)/('Process Flow Mass Balance'!$K$11*'Process Flow Mass Balance'!$J$11)),I54)</f>
        <v/>
      </c>
      <c r="AB54" s="12">
        <f>IF(C54=1,MAX(0,('Process Flow Mass Balance'!$K$11*J54*(1-'Process Flow Mass Balance'!$G$36)+'Process Flow Mass Balance'!$G$45*'Process Flow Mass Balance'!$K$11)/('Process Flow Mass Balance'!$K$11*'Process Flow Mass Balance'!$J$11)),J54)</f>
        <v/>
      </c>
      <c r="AC54" s="12">
        <f>IF(C54=1,MAX(0,('Process Flow Mass Balance'!$K$11*K54*(1-'Process Flow Mass Balance'!$H$36)+'Process Flow Mass Balance'!$H$45*'Process Flow Mass Balance'!$K$11)/('Process Flow Mass Balance'!$K$11*'Process Flow Mass Balance'!$J$11)),K54)</f>
        <v/>
      </c>
      <c r="AD54" s="12">
        <f>IF(C54=1,MAX(0,('Process Flow Mass Balance'!$K$11*L54*(1-'Process Flow Mass Balance'!$I$36)+'Process Flow Mass Balance'!$I$45*'Process Flow Mass Balance'!$K$11)/('Process Flow Mass Balance'!$K$11*'Process Flow Mass Balance'!$J$11)),L54)</f>
        <v/>
      </c>
      <c r="AE54" s="12">
        <f>IF(C54=1,MAX(0,('Process Flow Mass Balance'!$K$11*M54*(1-'Process Flow Mass Balance'!$J$36)+'Process Flow Mass Balance'!$J$45*'Process Flow Mass Balance'!$K$11)/('Process Flow Mass Balance'!$K$11*'Process Flow Mass Balance'!$J$11)),M54)</f>
        <v/>
      </c>
      <c r="AF54" s="12">
        <f>IF(C54=1,MAX(0,('Process Flow Mass Balance'!$K$11*N54*(1-'Process Flow Mass Balance'!$K$36)+'Process Flow Mass Balance'!$K$45*'Process Flow Mass Balance'!$K$11)/('Process Flow Mass Balance'!$K$11*'Process Flow Mass Balance'!$J$11)),N54)</f>
        <v/>
      </c>
      <c r="AG54" s="12">
        <f>IF(C54=1,MAX(0,('Process Flow Mass Balance'!$K$11*O54*(1-'Process Flow Mass Balance'!$L$36)+'Process Flow Mass Balance'!$L$45*'Process Flow Mass Balance'!$K$11)/('Process Flow Mass Balance'!$K$11*'Process Flow Mass Balance'!$J$11)),O54)</f>
        <v/>
      </c>
      <c r="AH54" s="12">
        <f>IF(C54=1,MAX(0,('Process Flow Mass Balance'!$K$11*P54*(1-'Process Flow Mass Balance'!$M$36)+'Process Flow Mass Balance'!$M$45*'Process Flow Mass Balance'!$K$11)/('Process Flow Mass Balance'!$K$11*'Process Flow Mass Balance'!$J$11)),P54)</f>
        <v/>
      </c>
      <c r="AI54" s="12">
        <f>IF(C54=1,MAX(0,('Process Flow Mass Balance'!$K$11*Q54*(1-'Process Flow Mass Balance'!$N$36)+'Process Flow Mass Balance'!$N$45*'Process Flow Mass Balance'!$K$11)/('Process Flow Mass Balance'!$K$11*'Process Flow Mass Balance'!$J$11)),Q54)</f>
        <v/>
      </c>
      <c r="AJ54" s="12">
        <f>IF(C54=1,MAX(0,('Process Flow Mass Balance'!$K$11*R54*(1-'Process Flow Mass Balance'!$O$36)+'Process Flow Mass Balance'!$O$45*'Process Flow Mass Balance'!$K$11)/('Process Flow Mass Balance'!$K$11*'Process Flow Mass Balance'!$J$11)),R54)</f>
        <v/>
      </c>
      <c r="AK54" s="12">
        <f>IF(C54=1,MAX(0,('Process Flow Mass Balance'!$K$11*S54*(1-'Process Flow Mass Balance'!$P$36)+'Process Flow Mass Balance'!$P$45*'Process Flow Mass Balance'!$K$11)/('Process Flow Mass Balance'!$K$11*'Process Flow Mass Balance'!$J$11)),S54)</f>
        <v/>
      </c>
      <c r="AL54" s="17">
        <f>IF(ABS(D54-T54-U54-V54)&lt;0.001,"✅","❌")</f>
        <v/>
      </c>
      <c r="AM54" s="16">
        <f>IF(C54=1,'Process Flow Mass Balance'!$K$11*Q54*'Process Flow Mass Balance'!$N$36,0)*3.78541/1000000</f>
        <v/>
      </c>
    </row>
    <row r="55">
      <c r="B55" s="17" t="inlineStr">
        <is>
          <t>Chlorine Contact (CT)</t>
        </is>
      </c>
      <c r="C55" s="23">
        <f>'Process Flow Mass Balance'!$C$12</f>
        <v/>
      </c>
      <c r="D55" s="13">
        <f>'Process Flow Mass Balance'!$V$54</f>
        <v/>
      </c>
      <c r="E55" s="12">
        <f>'Process Flow Mass Balance'!$W$54</f>
        <v/>
      </c>
      <c r="F55" s="12">
        <f>'Process Flow Mass Balance'!$X$54</f>
        <v/>
      </c>
      <c r="G55" s="12">
        <f>'Process Flow Mass Balance'!$Y$54</f>
        <v/>
      </c>
      <c r="H55" s="12">
        <f>'Process Flow Mass Balance'!$Z$54</f>
        <v/>
      </c>
      <c r="I55" s="12">
        <f>'Process Flow Mass Balance'!$AA$54</f>
        <v/>
      </c>
      <c r="J55" s="12">
        <f>'Process Flow Mass Balance'!$AB$54</f>
        <v/>
      </c>
      <c r="K55" s="12">
        <f>'Process Flow Mass Balance'!$AC$54</f>
        <v/>
      </c>
      <c r="L55" s="12">
        <f>'Process Flow Mass Balance'!$AD$54</f>
        <v/>
      </c>
      <c r="M55" s="12">
        <f>'Process Flow Mass Balance'!$AE$54</f>
        <v/>
      </c>
      <c r="N55" s="12">
        <f>'Process Flow Mass Balance'!$AF$54</f>
        <v/>
      </c>
      <c r="O55" s="12">
        <f>'Process Flow Mass Balance'!$AG$54</f>
        <v/>
      </c>
      <c r="P55" s="12">
        <f>'Process Flow Mass Balance'!$AH$54</f>
        <v/>
      </c>
      <c r="Q55" s="12">
        <f>'Process Flow Mass Balance'!$AI$54</f>
        <v/>
      </c>
      <c r="R55" s="12">
        <f>'Process Flow Mass Balance'!$AJ$54</f>
        <v/>
      </c>
      <c r="S55" s="12">
        <f>'Process Flow Mass Balance'!$AK$54</f>
        <v/>
      </c>
      <c r="T55" s="13">
        <f>D55-V55</f>
        <v/>
      </c>
      <c r="U55" s="13" t="n">
        <v>0</v>
      </c>
      <c r="V55" s="13">
        <f>D55*'Process Flow Mass Balance'!$J$12</f>
        <v/>
      </c>
      <c r="W55" s="12">
        <f>IF(AND(C55=1,ISNUMBER('Process Flow Mass Balance'!$I$12)),'Process Flow Mass Balance'!$I$12,E55)</f>
        <v/>
      </c>
      <c r="X55" s="12">
        <f>IF(C55=1,MAX(0,('Process Flow Mass Balance'!$K$12*F55*(1-'Process Flow Mass Balance'!$C$37)+'Process Flow Mass Balance'!$C$46*'Process Flow Mass Balance'!$K$12)/('Process Flow Mass Balance'!$K$12*'Process Flow Mass Balance'!$J$12)),F55)</f>
        <v/>
      </c>
      <c r="Y55" s="12">
        <f>IF(C55=1,MAX(0,('Process Flow Mass Balance'!$K$12*G55*(1-'Process Flow Mass Balance'!$D$37)+'Process Flow Mass Balance'!$D$46*'Process Flow Mass Balance'!$K$12)/('Process Flow Mass Balance'!$K$12*'Process Flow Mass Balance'!$J$12)),G55)</f>
        <v/>
      </c>
      <c r="Z55" s="12">
        <f>IF(C55=1,MAX(0,('Process Flow Mass Balance'!$K$12*H55*(1-'Process Flow Mass Balance'!$E$37)+'Process Flow Mass Balance'!$E$46*'Process Flow Mass Balance'!$K$12)/('Process Flow Mass Balance'!$K$12*'Process Flow Mass Balance'!$J$12)),H55)</f>
        <v/>
      </c>
      <c r="AA55" s="12">
        <f>IF(C55=1,MAX(0,('Process Flow Mass Balance'!$K$12*I55*(1-'Process Flow Mass Balance'!$F$37)+'Process Flow Mass Balance'!$F$46*'Process Flow Mass Balance'!$K$12)/('Process Flow Mass Balance'!$K$12*'Process Flow Mass Balance'!$J$12)),I55)</f>
        <v/>
      </c>
      <c r="AB55" s="12">
        <f>IF(C55=1,MAX(0,('Process Flow Mass Balance'!$K$12*J55*(1-'Process Flow Mass Balance'!$G$37)+'Process Flow Mass Balance'!$G$46*'Process Flow Mass Balance'!$K$12)/('Process Flow Mass Balance'!$K$12*'Process Flow Mass Balance'!$J$12)),J55)</f>
        <v/>
      </c>
      <c r="AC55" s="12">
        <f>IF(C55=1,MAX(0,('Process Flow Mass Balance'!$K$12*K55*(1-'Process Flow Mass Balance'!$H$37)+'Process Flow Mass Balance'!$H$46*'Process Flow Mass Balance'!$K$12)/('Process Flow Mass Balance'!$K$12*'Process Flow Mass Balance'!$J$12)),K55)</f>
        <v/>
      </c>
      <c r="AD55" s="12">
        <f>IF(C55=1,MAX(0,('Process Flow Mass Balance'!$K$12*L55*(1-'Process Flow Mass Balance'!$I$37)+'Process Flow Mass Balance'!$I$46*'Process Flow Mass Balance'!$K$12)/('Process Flow Mass Balance'!$K$12*'Process Flow Mass Balance'!$J$12)),L55)</f>
        <v/>
      </c>
      <c r="AE55" s="12">
        <f>IF(C55=1,MAX(0,('Process Flow Mass Balance'!$K$12*M55*(1-'Process Flow Mass Balance'!$J$37)+'Process Flow Mass Balance'!$J$46*'Process Flow Mass Balance'!$K$12)/('Process Flow Mass Balance'!$K$12*'Process Flow Mass Balance'!$J$12)),M55)</f>
        <v/>
      </c>
      <c r="AF55" s="12">
        <f>IF(C55=1,MAX(0,('Process Flow Mass Balance'!$K$12*N55*(1-'Process Flow Mass Balance'!$K$37)+'Process Flow Mass Balance'!$K$46*'Process Flow Mass Balance'!$K$12)/('Process Flow Mass Balance'!$K$12*'Process Flow Mass Balance'!$J$12)),N55)</f>
        <v/>
      </c>
      <c r="AG55" s="12">
        <f>IF(C55=1,MAX(0,('Process Flow Mass Balance'!$K$12*O55*(1-'Process Flow Mass Balance'!$L$37)+'Process Flow Mass Balance'!$L$46*'Process Flow Mass Balance'!$K$12)/('Process Flow Mass Balance'!$K$12*'Process Flow Mass Balance'!$J$12)),O55)</f>
        <v/>
      </c>
      <c r="AH55" s="12">
        <f>IF(C55=1,MAX(0,('Process Flow Mass Balance'!$K$12*P55*(1-'Process Flow Mass Balance'!$M$37)+'Process Flow Mass Balance'!$M$46*'Process Flow Mass Balance'!$K$12)/('Process Flow Mass Balance'!$K$12*'Process Flow Mass Balance'!$J$12)),P55)</f>
        <v/>
      </c>
      <c r="AI55" s="12">
        <f>IF(C55=1,MAX(0,('Process Flow Mass Balance'!$K$12*Q55*(1-'Process Flow Mass Balance'!$N$37)+'Process Flow Mass Balance'!$N$46*'Process Flow Mass Balance'!$K$12)/('Process Flow Mass Balance'!$K$12*'Process Flow Mass Balance'!$J$12)),Q55)</f>
        <v/>
      </c>
      <c r="AJ55" s="12">
        <f>IF(C55=1,MAX(0,('Process Flow Mass Balance'!$K$12*R55*(1-'Process Flow Mass Balance'!$O$37)+'Process Flow Mass Balance'!$O$46*'Process Flow Mass Balance'!$K$12)/('Process Flow Mass Balance'!$K$12*'Process Flow Mass Balance'!$J$12)),R55)</f>
        <v/>
      </c>
      <c r="AK55" s="12">
        <f>IF(C55=1,MAX(0,('Process Flow Mass Balance'!$K$12*S55*(1-'Process Flow Mass Balance'!$P$37)+'Process Flow Mass Balance'!$P$46*'Process Flow Mass Balance'!$K$12)/('Process Flow Mass Balance'!$K$12*'Process Flow Mass Balance'!$J$12)),S55)</f>
        <v/>
      </c>
      <c r="AL55" s="17">
        <f>IF(ABS(D55-T55-U55-V55)&lt;0.001,"✅","❌")</f>
        <v/>
      </c>
      <c r="AM55" s="16">
        <f>IF(C55=1,'Process Flow Mass Balance'!$K$12*Q55*'Process Flow Mass Balance'!$N$37,0)*3.78541/1000000</f>
        <v/>
      </c>
    </row>
    <row r="56">
      <c r="B56" s="17" t="inlineStr">
        <is>
          <t>Cooling Tower (recirculation → blowdown)</t>
        </is>
      </c>
      <c r="C56" s="23" t="n">
        <v>1</v>
      </c>
      <c r="D56" s="13">
        <f>IF('Dashboard'!$C$7='Dashboard'!$C$14,'Cooling Tower &amp; Corrugated Fill'!$C$85,'Cooling Tower &amp; Corrugated Fill'!$D$85)</f>
        <v/>
      </c>
      <c r="E56" s="12">
        <f>IF('Dashboard'!$C$7='Dashboard'!$C$14,'Cooling Tower &amp; Corrugated Fill'!$I$94,'Cooling Tower &amp; Corrugated Fill'!$N$94)</f>
        <v/>
      </c>
      <c r="F56" s="12">
        <f>IF('Dashboard'!$C$7='Dashboard'!$C$14,'Cooling Tower &amp; Corrugated Fill'!$I$95,'Cooling Tower &amp; Corrugated Fill'!$N$95)</f>
        <v/>
      </c>
      <c r="G56" s="12">
        <f>IF('Dashboard'!$C$7='Dashboard'!$C$14,'Cooling Tower &amp; Corrugated Fill'!$I$96,'Cooling Tower &amp; Corrugated Fill'!$N$96)</f>
        <v/>
      </c>
      <c r="H56" s="12">
        <f>IF('Dashboard'!$C$7='Dashboard'!$C$14,'Cooling Tower &amp; Corrugated Fill'!$I$97,'Cooling Tower &amp; Corrugated Fill'!$N$97)</f>
        <v/>
      </c>
      <c r="I56" s="12">
        <f>IF('Dashboard'!$C$7='Dashboard'!$C$14,'Cooling Tower &amp; Corrugated Fill'!$I$98,'Cooling Tower &amp; Corrugated Fill'!$N$98)</f>
        <v/>
      </c>
      <c r="J56" s="12">
        <f>IF('Dashboard'!$C$7='Dashboard'!$C$14,'Cooling Tower &amp; Corrugated Fill'!$I$99,'Cooling Tower &amp; Corrugated Fill'!$N$99)</f>
        <v/>
      </c>
      <c r="K56" s="12">
        <f>IF('Dashboard'!$C$7='Dashboard'!$C$14,'Cooling Tower &amp; Corrugated Fill'!$I$100,'Cooling Tower &amp; Corrugated Fill'!$N$100)</f>
        <v/>
      </c>
      <c r="L56" s="12">
        <f>IF('Dashboard'!$C$7='Dashboard'!$C$14,'Cooling Tower &amp; Corrugated Fill'!$I$101,'Cooling Tower &amp; Corrugated Fill'!$N$101)</f>
        <v/>
      </c>
      <c r="M56" s="12">
        <f>IF('Dashboard'!$C$7='Dashboard'!$C$14,'Cooling Tower &amp; Corrugated Fill'!$I$102,'Cooling Tower &amp; Corrugated Fill'!$N$102)</f>
        <v/>
      </c>
      <c r="N56" s="12">
        <f>IF('Dashboard'!$C$7='Dashboard'!$C$14,'Cooling Tower &amp; Corrugated Fill'!$I$103,'Cooling Tower &amp; Corrugated Fill'!$N$103)</f>
        <v/>
      </c>
      <c r="O56" s="12">
        <f>IF('Dashboard'!$C$7='Dashboard'!$C$14,'Cooling Tower &amp; Corrugated Fill'!$I$104,'Cooling Tower &amp; Corrugated Fill'!$N$104)</f>
        <v/>
      </c>
      <c r="P56" s="12">
        <f>IF('Dashboard'!$C$7='Dashboard'!$C$14,'Cooling Tower &amp; Corrugated Fill'!$I$105,'Cooling Tower &amp; Corrugated Fill'!$N$105)</f>
        <v/>
      </c>
      <c r="Q56" s="12">
        <f>IF('Dashboard'!$C$7='Dashboard'!$C$14,'Cooling Tower &amp; Corrugated Fill'!$I$106,'Cooling Tower &amp; Corrugated Fill'!$N$106)</f>
        <v/>
      </c>
      <c r="R56" s="12">
        <f>IF('Dashboard'!$C$7='Dashboard'!$C$14,'Cooling Tower &amp; Corrugated Fill'!$I$107,'Cooling Tower &amp; Corrugated Fill'!$N$107)</f>
        <v/>
      </c>
      <c r="S56" s="12">
        <f>IF('Dashboard'!$C$7='Dashboard'!$C$14,'Cooling Tower &amp; Corrugated Fill'!$I$108,'Cooling Tower &amp; Corrugated Fill'!$N$108)</f>
        <v/>
      </c>
      <c r="T56" s="13">
        <f>IF('Dashboard'!$C$7='Dashboard'!$C$14,'Cooling Tower &amp; Corrugated Fill'!$C$61,'Cooling Tower &amp; Corrugated Fill'!$D$61)</f>
        <v/>
      </c>
      <c r="U56" s="13">
        <f>IF('Dashboard'!$C$7='Dashboard'!$C$14,'Cooling Tower &amp; Corrugated Fill'!$C$60,'Cooling Tower &amp; Corrugated Fill'!$D$60)</f>
        <v/>
      </c>
      <c r="V56" s="13">
        <f>IF('Dashboard'!$C$7='Dashboard'!$C$14,'Cooling Tower &amp; Corrugated Fill'!$C$80,'Cooling Tower &amp; Corrugated Fill'!$D$80)</f>
        <v/>
      </c>
      <c r="W56" s="12">
        <f>IF('Dashboard'!$C$7='Dashboard'!$C$14,'Cooling Tower &amp; Corrugated Fill'!$F$94,'Cooling Tower &amp; Corrugated Fill'!$K$94)</f>
        <v/>
      </c>
      <c r="X56" s="12">
        <f>IF('Dashboard'!$C$7='Dashboard'!$C$14,'Cooling Tower &amp; Corrugated Fill'!$F$95,'Cooling Tower &amp; Corrugated Fill'!$K$95)</f>
        <v/>
      </c>
      <c r="Y56" s="12">
        <f>IF('Dashboard'!$C$7='Dashboard'!$C$14,'Cooling Tower &amp; Corrugated Fill'!$F$96,'Cooling Tower &amp; Corrugated Fill'!$K$96)</f>
        <v/>
      </c>
      <c r="Z56" s="12">
        <f>IF('Dashboard'!$C$7='Dashboard'!$C$14,'Cooling Tower &amp; Corrugated Fill'!$F$97,'Cooling Tower &amp; Corrugated Fill'!$K$97)</f>
        <v/>
      </c>
      <c r="AA56" s="12">
        <f>IF('Dashboard'!$C$7='Dashboard'!$C$14,'Cooling Tower &amp; Corrugated Fill'!$F$98,'Cooling Tower &amp; Corrugated Fill'!$K$98)</f>
        <v/>
      </c>
      <c r="AB56" s="12">
        <f>IF('Dashboard'!$C$7='Dashboard'!$C$14,'Cooling Tower &amp; Corrugated Fill'!$F$99,'Cooling Tower &amp; Corrugated Fill'!$K$99)</f>
        <v/>
      </c>
      <c r="AC56" s="12">
        <f>IF('Dashboard'!$C$7='Dashboard'!$C$14,'Cooling Tower &amp; Corrugated Fill'!$F$100,'Cooling Tower &amp; Corrugated Fill'!$K$100)</f>
        <v/>
      </c>
      <c r="AD56" s="12">
        <f>IF('Dashboard'!$C$7='Dashboard'!$C$14,'Cooling Tower &amp; Corrugated Fill'!$F$101,'Cooling Tower &amp; Corrugated Fill'!$K$101)</f>
        <v/>
      </c>
      <c r="AE56" s="12">
        <f>IF('Dashboard'!$C$7='Dashboard'!$C$14,'Cooling Tower &amp; Corrugated Fill'!$F$102,'Cooling Tower &amp; Corrugated Fill'!$K$102)</f>
        <v/>
      </c>
      <c r="AF56" s="12">
        <f>IF('Dashboard'!$C$7='Dashboard'!$C$14,'Cooling Tower &amp; Corrugated Fill'!$F$103,'Cooling Tower &amp; Corrugated Fill'!$K$103)</f>
        <v/>
      </c>
      <c r="AG56" s="12">
        <f>IF('Dashboard'!$C$7='Dashboard'!$C$14,'Cooling Tower &amp; Corrugated Fill'!$F$104,'Cooling Tower &amp; Corrugated Fill'!$K$104)</f>
        <v/>
      </c>
      <c r="AH56" s="12">
        <f>IF('Dashboard'!$C$7='Dashboard'!$C$14,'Cooling Tower &amp; Corrugated Fill'!$F$105,'Cooling Tower &amp; Corrugated Fill'!$K$105)</f>
        <v/>
      </c>
      <c r="AI56" s="12">
        <f>IF('Dashboard'!$C$7='Dashboard'!$C$14,'Cooling Tower &amp; Corrugated Fill'!$F$106,'Cooling Tower &amp; Corrugated Fill'!$K$106)</f>
        <v/>
      </c>
      <c r="AJ56" s="12">
        <f>IF('Dashboard'!$C$7='Dashboard'!$C$14,'Cooling Tower &amp; Corrugated Fill'!$F$107,'Cooling Tower &amp; Corrugated Fill'!$K$107)</f>
        <v/>
      </c>
      <c r="AK56" s="12">
        <f>IF('Dashboard'!$C$7='Dashboard'!$C$14,'Cooling Tower &amp; Corrugated Fill'!$F$108,'Cooling Tower &amp; Corrugated Fill'!$K$108)</f>
        <v/>
      </c>
      <c r="AL56" s="17">
        <f>IF(ABS(D56-T56-U56-V56)&lt;0.01,"✅","❌")</f>
        <v/>
      </c>
    </row>
    <row r="57">
      <c r="B57" s="17" t="inlineStr">
        <is>
          <t>Blowdown Recovery RO (permeate → makeup)</t>
        </is>
      </c>
      <c r="C57" s="23">
        <f>IF('Dashboard'!$C$7='Dashboard'!$C$14,'Dashboard'!$C$16,'Dashboard'!$D$16)</f>
        <v/>
      </c>
      <c r="D57" s="13">
        <f>IF(C57=1,IF('Dashboard'!$C$7='Dashboard'!$C$14,'Cooling Tower &amp; Corrugated Fill'!$C$80,'Cooling Tower &amp; Corrugated Fill'!$D$80),0)</f>
        <v/>
      </c>
      <c r="E57" s="12">
        <f>IF('Dashboard'!$C$7='Dashboard'!$C$14,'Cooling Tower &amp; Corrugated Fill'!$F$94,'Cooling Tower &amp; Corrugated Fill'!$K$94)</f>
        <v/>
      </c>
      <c r="F57" s="12">
        <f>IF('Dashboard'!$C$7='Dashboard'!$C$14,'Cooling Tower &amp; Corrugated Fill'!$F$95,'Cooling Tower &amp; Corrugated Fill'!$K$95)</f>
        <v/>
      </c>
      <c r="G57" s="12">
        <f>IF('Dashboard'!$C$7='Dashboard'!$C$14,'Cooling Tower &amp; Corrugated Fill'!$F$96,'Cooling Tower &amp; Corrugated Fill'!$K$96)</f>
        <v/>
      </c>
      <c r="H57" s="12">
        <f>IF('Dashboard'!$C$7='Dashboard'!$C$14,'Cooling Tower &amp; Corrugated Fill'!$F$97,'Cooling Tower &amp; Corrugated Fill'!$K$97)</f>
        <v/>
      </c>
      <c r="I57" s="12">
        <f>IF('Dashboard'!$C$7='Dashboard'!$C$14,'Cooling Tower &amp; Corrugated Fill'!$F$98,'Cooling Tower &amp; Corrugated Fill'!$K$98)</f>
        <v/>
      </c>
      <c r="J57" s="12">
        <f>IF('Dashboard'!$C$7='Dashboard'!$C$14,'Cooling Tower &amp; Corrugated Fill'!$F$99,'Cooling Tower &amp; Corrugated Fill'!$K$99)</f>
        <v/>
      </c>
      <c r="K57" s="12">
        <f>IF('Dashboard'!$C$7='Dashboard'!$C$14,'Cooling Tower &amp; Corrugated Fill'!$F$100,'Cooling Tower &amp; Corrugated Fill'!$K$100)</f>
        <v/>
      </c>
      <c r="L57" s="12">
        <f>IF('Dashboard'!$C$7='Dashboard'!$C$14,'Cooling Tower &amp; Corrugated Fill'!$F$101,'Cooling Tower &amp; Corrugated Fill'!$K$101)</f>
        <v/>
      </c>
      <c r="M57" s="12">
        <f>IF('Dashboard'!$C$7='Dashboard'!$C$14,'Cooling Tower &amp; Corrugated Fill'!$F$102,'Cooling Tower &amp; Corrugated Fill'!$K$102)</f>
        <v/>
      </c>
      <c r="N57" s="12">
        <f>IF('Dashboard'!$C$7='Dashboard'!$C$14,'Cooling Tower &amp; Corrugated Fill'!$F$103,'Cooling Tower &amp; Corrugated Fill'!$K$103)</f>
        <v/>
      </c>
      <c r="O57" s="12">
        <f>IF('Dashboard'!$C$7='Dashboard'!$C$14,'Cooling Tower &amp; Corrugated Fill'!$F$104,'Cooling Tower &amp; Corrugated Fill'!$K$104)</f>
        <v/>
      </c>
      <c r="P57" s="12">
        <f>IF('Dashboard'!$C$7='Dashboard'!$C$14,'Cooling Tower &amp; Corrugated Fill'!$F$105,'Cooling Tower &amp; Corrugated Fill'!$K$105)</f>
        <v/>
      </c>
      <c r="Q57" s="12">
        <f>IF('Dashboard'!$C$7='Dashboard'!$C$14,'Cooling Tower &amp; Corrugated Fill'!$F$106,'Cooling Tower &amp; Corrugated Fill'!$K$106)</f>
        <v/>
      </c>
      <c r="R57" s="12">
        <f>IF('Dashboard'!$C$7='Dashboard'!$C$14,'Cooling Tower &amp; Corrugated Fill'!$F$107,'Cooling Tower &amp; Corrugated Fill'!$K$107)</f>
        <v/>
      </c>
      <c r="S57" s="12">
        <f>IF('Dashboard'!$C$7='Dashboard'!$C$14,'Cooling Tower &amp; Corrugated Fill'!$F$108,'Cooling Tower &amp; Corrugated Fill'!$K$108)</f>
        <v/>
      </c>
      <c r="T57" s="13">
        <f>D57-V57</f>
        <v/>
      </c>
      <c r="U57" s="13" t="n">
        <v>0</v>
      </c>
      <c r="V57" s="13">
        <f>IF(C57=1,IF('Dashboard'!$C$7='Dashboard'!$C$14,'Cooling Tower &amp; Corrugated Fill'!$C$82,'Cooling Tower &amp; Corrugated Fill'!$D$82),0)</f>
        <v/>
      </c>
      <c r="W57" s="12">
        <f>IF(C57=1,IF('Dashboard'!$C$7='Dashboard'!$C$14,'Cooling Tower &amp; Corrugated Fill'!$G$94,'Cooling Tower &amp; Corrugated Fill'!$L$94),0)</f>
        <v/>
      </c>
      <c r="X57" s="12">
        <f>IF(C57=1,IF('Dashboard'!$C$7='Dashboard'!$C$14,'Cooling Tower &amp; Corrugated Fill'!$G$95,'Cooling Tower &amp; Corrugated Fill'!$L$95),0)</f>
        <v/>
      </c>
      <c r="Y57" s="12">
        <f>IF(C57=1,IF('Dashboard'!$C$7='Dashboard'!$C$14,'Cooling Tower &amp; Corrugated Fill'!$G$96,'Cooling Tower &amp; Corrugated Fill'!$L$96),0)</f>
        <v/>
      </c>
      <c r="Z57" s="12">
        <f>IF(C57=1,IF('Dashboard'!$C$7='Dashboard'!$C$14,'Cooling Tower &amp; Corrugated Fill'!$G$97,'Cooling Tower &amp; Corrugated Fill'!$L$97),0)</f>
        <v/>
      </c>
      <c r="AA57" s="12">
        <f>IF(C57=1,IF('Dashboard'!$C$7='Dashboard'!$C$14,'Cooling Tower &amp; Corrugated Fill'!$G$98,'Cooling Tower &amp; Corrugated Fill'!$L$98),0)</f>
        <v/>
      </c>
      <c r="AB57" s="12">
        <f>IF(C57=1,IF('Dashboard'!$C$7='Dashboard'!$C$14,'Cooling Tower &amp; Corrugated Fill'!$G$99,'Cooling Tower &amp; Corrugated Fill'!$L$99),0)</f>
        <v/>
      </c>
      <c r="AC57" s="12">
        <f>IF(C57=1,IF('Dashboard'!$C$7='Dashboard'!$C$14,'Cooling Tower &amp; Corrugated Fill'!$G$100,'Cooling Tower &amp; Corrugated Fill'!$L$100),0)</f>
        <v/>
      </c>
      <c r="AD57" s="12">
        <f>IF(C57=1,IF('Dashboard'!$C$7='Dashboard'!$C$14,'Cooling Tower &amp; Corrugated Fill'!$G$101,'Cooling Tower &amp; Corrugated Fill'!$L$101),0)</f>
        <v/>
      </c>
      <c r="AE57" s="12">
        <f>IF(C57=1,IF('Dashboard'!$C$7='Dashboard'!$C$14,'Cooling Tower &amp; Corrugated Fill'!$G$102,'Cooling Tower &amp; Corrugated Fill'!$L$102),0)</f>
        <v/>
      </c>
      <c r="AF57" s="12">
        <f>IF(C57=1,IF('Dashboard'!$C$7='Dashboard'!$C$14,'Cooling Tower &amp; Corrugated Fill'!$G$103,'Cooling Tower &amp; Corrugated Fill'!$L$103),0)</f>
        <v/>
      </c>
      <c r="AG57" s="12">
        <f>IF(C57=1,IF('Dashboard'!$C$7='Dashboard'!$C$14,'Cooling Tower &amp; Corrugated Fill'!$G$104,'Cooling Tower &amp; Corrugated Fill'!$L$104),0)</f>
        <v/>
      </c>
      <c r="AH57" s="12">
        <f>IF(C57=1,IF('Dashboard'!$C$7='Dashboard'!$C$14,'Cooling Tower &amp; Corrugated Fill'!$G$105,'Cooling Tower &amp; Corrugated Fill'!$L$105),0)</f>
        <v/>
      </c>
      <c r="AI57" s="12">
        <f>IF(C57=1,IF('Dashboard'!$C$7='Dashboard'!$C$14,'Cooling Tower &amp; Corrugated Fill'!$G$106,'Cooling Tower &amp; Corrugated Fill'!$L$106),0)</f>
        <v/>
      </c>
      <c r="AJ57" s="12">
        <f>IF(C57=1,IF('Dashboard'!$C$7='Dashboard'!$C$14,'Cooling Tower &amp; Corrugated Fill'!$G$107,'Cooling Tower &amp; Corrugated Fill'!$L$107),0)</f>
        <v/>
      </c>
      <c r="AK57" s="12">
        <f>IF(C57=1,IF('Dashboard'!$C$7='Dashboard'!$C$14,'Cooling Tower &amp; Corrugated Fill'!$G$108,'Cooling Tower &amp; Corrugated Fill'!$L$108),0)</f>
        <v/>
      </c>
      <c r="AL57" s="17">
        <f>IF(ABS(D57-T57-U57-V57)&lt;0.01,"✅","❌")</f>
        <v/>
      </c>
    </row>
    <row r="59">
      <c r="B59" s="5" t="inlineStr">
        <is>
          <t>System check: Intake − Evaporation − Drift − Sewer discharges</t>
        </is>
      </c>
      <c r="C59" s="12">
        <f>IF('Dashboard'!$C$7='Dashboard'!$C$14,'Cooling Tower &amp; Corrugated Fill'!$C$86,'Cooling Tower &amp; Corrugated Fill'!$D$86)-IF('Dashboard'!$C$7='Dashboard'!$C$14,'Cooling Tower &amp; Corrugated Fill'!$C$60,'Cooling Tower &amp; Corrugated Fill'!$D$60)-IF('Dashboard'!$C$7='Dashboard'!$C$14,'Cooling Tower &amp; Corrugated Fill'!$C$61,'Cooling Tower &amp; Corrugated Fill'!$D$61)-IF('Dashboard'!$C$7='Dashboard'!$C$14,'Cooling Tower &amp; Corrugated Fill'!$C$89,'Cooling Tower &amp; Corrugated Fill'!$D$89)</f>
        <v/>
      </c>
      <c r="D59" s="7" t="inlineStr">
        <is>
          <t>gpd</t>
        </is>
      </c>
      <c r="E59" s="8" t="inlineStr">
        <is>
          <t>Must be 0 — whole-plant water balance</t>
        </is>
      </c>
    </row>
  </sheetData>
  <conditionalFormatting sqref="AL50">
    <cfRule type="expression" priority="1" dxfId="0">
      <formula>ISNUMBER(SEARCH("❌",AL50))</formula>
    </cfRule>
    <cfRule type="expression" priority="2" dxfId="1">
      <formula>ISNUMBER(SEARCH("✅",AL50))</formula>
    </cfRule>
  </conditionalFormatting>
  <conditionalFormatting sqref="AL51">
    <cfRule type="expression" priority="3" dxfId="0">
      <formula>ISNUMBER(SEARCH("❌",AL51))</formula>
    </cfRule>
    <cfRule type="expression" priority="4" dxfId="1">
      <formula>ISNUMBER(SEARCH("✅",AL51))</formula>
    </cfRule>
  </conditionalFormatting>
  <conditionalFormatting sqref="AL52">
    <cfRule type="expression" priority="5" dxfId="0">
      <formula>ISNUMBER(SEARCH("❌",AL52))</formula>
    </cfRule>
    <cfRule type="expression" priority="6" dxfId="1">
      <formula>ISNUMBER(SEARCH("✅",AL52))</formula>
    </cfRule>
  </conditionalFormatting>
  <conditionalFormatting sqref="AL53">
    <cfRule type="expression" priority="7" dxfId="0">
      <formula>ISNUMBER(SEARCH("❌",AL53))</formula>
    </cfRule>
    <cfRule type="expression" priority="8" dxfId="1">
      <formula>ISNUMBER(SEARCH("✅",AL53))</formula>
    </cfRule>
  </conditionalFormatting>
  <conditionalFormatting sqref="AL54">
    <cfRule type="expression" priority="9" dxfId="0">
      <formula>ISNUMBER(SEARCH("❌",AL54))</formula>
    </cfRule>
    <cfRule type="expression" priority="10" dxfId="1">
      <formula>ISNUMBER(SEARCH("✅",AL54))</formula>
    </cfRule>
  </conditionalFormatting>
  <conditionalFormatting sqref="AL55">
    <cfRule type="expression" priority="11" dxfId="0">
      <formula>ISNUMBER(SEARCH("❌",AL55))</formula>
    </cfRule>
    <cfRule type="expression" priority="12" dxfId="1">
      <formula>ISNUMBER(SEARCH("✅",AL55))</formula>
    </cfRule>
  </conditionalFormatting>
  <conditionalFormatting sqref="AL56">
    <cfRule type="expression" priority="13" dxfId="0">
      <formula>ISNUMBER(SEARCH("❌",AL56))</formula>
    </cfRule>
    <cfRule type="expression" priority="14" dxfId="1">
      <formula>ISNUMBER(SEARCH("✅",AL56))</formula>
    </cfRule>
  </conditionalFormatting>
  <conditionalFormatting sqref="AL57">
    <cfRule type="expression" priority="15" dxfId="0">
      <formula>ISNUMBER(SEARCH("❌",AL57))</formula>
    </cfRule>
    <cfRule type="expression" priority="16" dxfId="1">
      <formula>ISNUMBER(SEARCH("✅",AL57))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B1:Q143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2" customWidth="1" min="2" max="2"/>
    <col width="26" customWidth="1" min="3" max="3"/>
    <col width="28" customWidth="1" min="4" max="4"/>
    <col width="12" customWidth="1" min="5" max="5"/>
    <col width="34" customWidth="1" min="6" max="6"/>
    <col width="12" customWidth="1" min="7" max="7"/>
    <col width="14" customWidth="1" min="8" max="8"/>
    <col width="14" customWidth="1" min="9" max="9"/>
    <col width="14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</cols>
  <sheetData>
    <row r="1">
      <c r="B1" s="1" t="inlineStr">
        <is>
          <t>Cooling Tower Heat Balance &amp; Corrugated Fill Simulation</t>
        </is>
      </c>
    </row>
    <row r="2">
      <c r="B2" s="2" t="inlineStr">
        <is>
          <t>Q = ṁ·cp·ΔT · Tower Load = Q(1 + 1/COP) · E = TL/(970×8.34) · B = (E − (N−1)D)/(N·k − 1 + Y)</t>
        </is>
      </c>
    </row>
    <row r="5">
      <c r="B5" s="3" t="inlineStr">
        <is>
          <t>1. Shared design inputs</t>
        </is>
      </c>
      <c r="C5" s="4" t="n"/>
      <c r="D5" s="4" t="n"/>
      <c r="E5" s="4" t="n"/>
      <c r="F5" s="4" t="n"/>
      <c r="G5" s="4" t="n"/>
    </row>
    <row r="6">
      <c r="B6" s="5" t="inlineStr">
        <is>
          <t>Other heat to chilled water (fraction of IT)</t>
        </is>
      </c>
      <c r="C6" s="10" t="n">
        <v>0.05</v>
      </c>
      <c r="D6" s="7" t="inlineStr">
        <is>
          <t>-</t>
        </is>
      </c>
    </row>
    <row r="7">
      <c r="B7" s="5" t="inlineStr">
        <is>
          <t>Chilled-water ΔT</t>
        </is>
      </c>
      <c r="C7" s="9" t="n">
        <v>12</v>
      </c>
      <c r="D7" s="7" t="inlineStr">
        <is>
          <t>°F</t>
        </is>
      </c>
    </row>
    <row r="8">
      <c r="B8" s="5" t="inlineStr">
        <is>
          <t>Chiller COP at reference CWST</t>
        </is>
      </c>
      <c r="C8" s="21" t="n">
        <v>5.5</v>
      </c>
      <c r="D8" s="7" t="inlineStr">
        <is>
          <t>-</t>
        </is>
      </c>
    </row>
    <row r="9">
      <c r="B9" s="5" t="inlineStr">
        <is>
          <t>Reference condenser-water supply temp</t>
        </is>
      </c>
      <c r="C9" s="9" t="n">
        <v>85</v>
      </c>
      <c r="D9" s="7" t="inlineStr">
        <is>
          <t>°F</t>
        </is>
      </c>
    </row>
    <row r="10">
      <c r="B10" s="5" t="inlineStr">
        <is>
          <t>COP sensitivity per °F colder CWST</t>
        </is>
      </c>
      <c r="C10" s="10" t="n">
        <v>0.02</v>
      </c>
      <c r="D10" s="7" t="inlineStr">
        <is>
          <t>1/°F</t>
        </is>
      </c>
      <c r="E10" s="8" t="inlineStr">
        <is>
          <t>Screening ~2 %/°F</t>
        </is>
      </c>
    </row>
    <row r="11">
      <c r="B11" s="5" t="inlineStr">
        <is>
          <t>Non-cooling PUE overhead</t>
        </is>
      </c>
      <c r="C11" s="20" t="n">
        <v>0.08</v>
      </c>
      <c r="D11" s="7" t="inlineStr">
        <is>
          <t>-</t>
        </is>
      </c>
    </row>
    <row r="12">
      <c r="B12" s="5" t="inlineStr">
        <is>
          <t>Tower range (hot − cold)</t>
        </is>
      </c>
      <c r="C12" s="9" t="n">
        <v>10</v>
      </c>
      <c r="D12" s="7" t="inlineStr">
        <is>
          <t>°F</t>
        </is>
      </c>
    </row>
    <row r="13">
      <c r="B13" s="5" t="inlineStr">
        <is>
          <t>Water/air mass ratio L/G</t>
        </is>
      </c>
      <c r="C13" s="21" t="n">
        <v>1.2</v>
      </c>
      <c r="D13" s="7" t="inlineStr">
        <is>
          <t>-</t>
        </is>
      </c>
    </row>
    <row r="14">
      <c r="B14" s="5" t="inlineStr">
        <is>
          <t>Barometric pressure</t>
        </is>
      </c>
      <c r="C14" s="20" t="n">
        <v>101.325</v>
      </c>
      <c r="D14" s="7" t="inlineStr">
        <is>
          <t>kPa</t>
        </is>
      </c>
    </row>
    <row r="15">
      <c r="B15" s="5" t="inlineStr">
        <is>
          <t>Minimum CoC</t>
        </is>
      </c>
      <c r="C15" s="21" t="n">
        <v>1.2</v>
      </c>
      <c r="D15" s="7" t="inlineStr">
        <is>
          <t>cycles</t>
        </is>
      </c>
    </row>
    <row r="16">
      <c r="B16" s="5" t="inlineStr">
        <is>
          <t>Max recirculating LSI (inhibitor program)</t>
        </is>
      </c>
      <c r="C16" s="21" t="n">
        <v>2.5</v>
      </c>
      <c r="D16" s="7" t="inlineStr">
        <is>
          <t>-</t>
        </is>
      </c>
    </row>
    <row r="17">
      <c r="B17" s="5" t="inlineStr">
        <is>
          <t>Recirculating free-chlorine residual</t>
        </is>
      </c>
      <c r="C17" s="21" t="n">
        <v>0.5</v>
      </c>
      <c r="D17" s="7" t="inlineStr">
        <is>
          <t>mg/L</t>
        </is>
      </c>
    </row>
    <row r="18">
      <c r="B18" s="5" t="inlineStr">
        <is>
          <t>Silica blowdown alert</t>
        </is>
      </c>
      <c r="C18" s="26" t="n">
        <v>150</v>
      </c>
      <c r="D18" s="7" t="inlineStr">
        <is>
          <t>mg/L</t>
        </is>
      </c>
    </row>
    <row r="19">
      <c r="B19" s="5" t="inlineStr">
        <is>
          <t>Blowdown-recovery RO recovery Y</t>
        </is>
      </c>
      <c r="C19" s="10" t="n">
        <v>0.7</v>
      </c>
      <c r="D19" s="7" t="inlineStr">
        <is>
          <t>-</t>
        </is>
      </c>
    </row>
    <row r="20">
      <c r="B20" s="5" t="inlineStr">
        <is>
          <t>LEED max Ca (as CaCO3)</t>
        </is>
      </c>
      <c r="C20" s="26" t="n">
        <v>1000</v>
      </c>
      <c r="D20" s="7" t="inlineStr">
        <is>
          <t>ppm</t>
        </is>
      </c>
      <c r="E20" s="8" t="inlineStr">
        <is>
          <t>LEED v4 WE Cooling Tower Water Use, Table 1</t>
        </is>
      </c>
    </row>
    <row r="21">
      <c r="B21" s="5" t="inlineStr">
        <is>
          <t>LEED max alkalinity</t>
        </is>
      </c>
      <c r="C21" s="26" t="n">
        <v>1000</v>
      </c>
      <c r="D21" s="7" t="inlineStr">
        <is>
          <t>ppm</t>
        </is>
      </c>
      <c r="E21" s="8" t="inlineStr">
        <is>
          <t>LEED v4 WE Cooling Tower Water Use, Table 1</t>
        </is>
      </c>
    </row>
    <row r="22">
      <c r="B22" s="5" t="inlineStr">
        <is>
          <t>LEED max SiO₂</t>
        </is>
      </c>
      <c r="C22" s="26" t="n">
        <v>100</v>
      </c>
      <c r="D22" s="7" t="inlineStr">
        <is>
          <t>ppm</t>
        </is>
      </c>
      <c r="E22" s="8" t="inlineStr">
        <is>
          <t>LEED v4 WE Cooling Tower Water Use, Table 1</t>
        </is>
      </c>
    </row>
    <row r="23">
      <c r="B23" s="5" t="inlineStr">
        <is>
          <t>LEED max chloride</t>
        </is>
      </c>
      <c r="C23" s="26" t="n">
        <v>250</v>
      </c>
      <c r="D23" s="7" t="inlineStr">
        <is>
          <t>ppm</t>
        </is>
      </c>
      <c r="E23" s="8" t="inlineStr">
        <is>
          <t>LEED v4 WE Cooling Tower Water Use, Table 1</t>
        </is>
      </c>
    </row>
    <row r="24">
      <c r="B24" s="5" t="inlineStr">
        <is>
          <t>LEED max conductivity</t>
        </is>
      </c>
      <c r="C24" s="26" t="n">
        <v>2000</v>
      </c>
      <c r="D24" s="7" t="inlineStr">
        <is>
          <t>µS/cm</t>
        </is>
      </c>
      <c r="E24" s="8" t="inlineStr">
        <is>
          <t>LEED v4 WE Cooling Tower Water Use, Table 1</t>
        </is>
      </c>
    </row>
    <row r="25">
      <c r="B25" s="5" t="inlineStr">
        <is>
          <t>Fill model c0 (KaV/L at reference)</t>
        </is>
      </c>
      <c r="C25" s="20" t="n">
        <v>1.2</v>
      </c>
      <c r="D25" s="7" t="inlineStr">
        <is>
          <t>-</t>
        </is>
      </c>
      <c r="E25" s="8" t="inlineStr">
        <is>
          <t>Screening calibration</t>
        </is>
      </c>
    </row>
    <row r="26">
      <c r="B26" s="5" t="inlineStr">
        <is>
          <t>Reference SSA</t>
        </is>
      </c>
      <c r="C26" s="9" t="n">
        <v>150</v>
      </c>
      <c r="D26" s="7" t="inlineStr">
        <is>
          <t>m²/m³</t>
        </is>
      </c>
    </row>
    <row r="27">
      <c r="B27" s="5" t="inlineStr">
        <is>
          <t>Reference fill height</t>
        </is>
      </c>
      <c r="C27" s="21" t="n">
        <v>1.2</v>
      </c>
      <c r="D27" s="7" t="inlineStr">
        <is>
          <t>m</t>
        </is>
      </c>
    </row>
    <row r="28">
      <c r="B28" s="5" t="inlineStr">
        <is>
          <t>KaV/L exponent on L/G (n)</t>
        </is>
      </c>
      <c r="C28" s="21" t="n">
        <v>0.6</v>
      </c>
      <c r="D28" s="7" t="inlineStr">
        <is>
          <t>-</t>
        </is>
      </c>
    </row>
    <row r="29">
      <c r="B29" s="5" t="inlineStr">
        <is>
          <t>Flute-angle thermal exponent</t>
        </is>
      </c>
      <c r="C29" s="21" t="n">
        <v>0.15</v>
      </c>
      <c r="D29" s="7" t="inlineStr">
        <is>
          <t>-</t>
        </is>
      </c>
    </row>
    <row r="31">
      <c r="B31" s="3" t="inlineStr">
        <is>
          <t>2. Scenario inputs — fill, drift eliminator, chemistry</t>
        </is>
      </c>
      <c r="C31" s="4" t="n"/>
      <c r="D31" s="4" t="n"/>
      <c r="E31" s="4" t="n"/>
      <c r="F31" s="4" t="n"/>
      <c r="G31" s="4" t="n"/>
    </row>
    <row r="32">
      <c r="B32" s="11" t="inlineStr">
        <is>
          <t>Parameter</t>
        </is>
      </c>
      <c r="C32" s="11" t="inlineStr">
        <is>
          <t>Current Baseline</t>
        </is>
      </c>
      <c r="D32" s="11" t="inlineStr">
        <is>
          <t>Corrugated Fill + High CoC</t>
        </is>
      </c>
      <c r="E32" s="11" t="inlineStr">
        <is>
          <t>Unit</t>
        </is>
      </c>
      <c r="F32" s="11" t="inlineStr">
        <is>
          <t>Note</t>
        </is>
      </c>
    </row>
    <row r="33">
      <c r="B33" s="5" t="inlineStr">
        <is>
          <t>Fill / eliminator description</t>
        </is>
      </c>
      <c r="C33" s="6" t="inlineStr">
        <is>
          <t>Legacy offset film fill + blade eliminator</t>
        </is>
      </c>
      <c r="D33" s="6" t="inlineStr">
        <is>
          <t>Cross-fluted corrugated fill + cellular HE eliminator</t>
        </is>
      </c>
      <c r="E33" s="7" t="inlineStr"/>
    </row>
    <row r="34">
      <c r="B34" s="5" t="inlineStr">
        <is>
          <t>Specific surface area (SSA)</t>
        </is>
      </c>
      <c r="C34" s="9" t="n">
        <v>150</v>
      </c>
      <c r="D34" s="9" t="n">
        <v>226</v>
      </c>
      <c r="E34" s="7" t="inlineStr">
        <is>
          <t>m²/m³</t>
        </is>
      </c>
    </row>
    <row r="35">
      <c r="B35" s="5" t="inlineStr">
        <is>
          <t>Flute angle</t>
        </is>
      </c>
      <c r="C35" s="9" t="n">
        <v>30</v>
      </c>
      <c r="D35" s="9" t="n">
        <v>60</v>
      </c>
      <c r="E35" s="7" t="inlineStr">
        <is>
          <t>°</t>
        </is>
      </c>
    </row>
    <row r="36">
      <c r="B36" s="5" t="inlineStr">
        <is>
          <t>Sheet thickness</t>
        </is>
      </c>
      <c r="C36" s="21" t="n">
        <v>0.25</v>
      </c>
      <c r="D36" s="21" t="n">
        <v>0.38</v>
      </c>
      <c r="E36" s="7" t="inlineStr">
        <is>
          <t>mm</t>
        </is>
      </c>
    </row>
    <row r="37">
      <c r="B37" s="5" t="inlineStr">
        <is>
          <t>Fill height</t>
        </is>
      </c>
      <c r="C37" s="21" t="n">
        <v>1</v>
      </c>
      <c r="D37" s="21" t="n">
        <v>1.2</v>
      </c>
      <c r="E37" s="7" t="inlineStr">
        <is>
          <t>m</t>
        </is>
      </c>
    </row>
    <row r="38">
      <c r="B38" s="5" t="inlineStr">
        <is>
          <t>Drift fraction of recirculation</t>
        </is>
      </c>
      <c r="C38" s="27" t="n">
        <v>0.002</v>
      </c>
      <c r="D38" s="27" t="n">
        <v>1e-05</v>
      </c>
      <c r="E38" s="7" t="inlineStr">
        <is>
          <t>-</t>
        </is>
      </c>
      <c r="F38" s="8" t="inlineStr">
        <is>
          <t>0.20 % → 0.001 % with HE eliminator</t>
        </is>
      </c>
    </row>
    <row r="39">
      <c r="B39" s="5" t="inlineStr">
        <is>
          <t>Drift eliminator pressure drop</t>
        </is>
      </c>
      <c r="C39" s="9" t="n">
        <v>10</v>
      </c>
      <c r="D39" s="9" t="n">
        <v>20</v>
      </c>
      <c r="E39" s="7" t="inlineStr">
        <is>
          <t>Pa</t>
        </is>
      </c>
    </row>
    <row r="40">
      <c r="B40" s="5" t="inlineStr">
        <is>
          <t>Recirculating pH</t>
        </is>
      </c>
      <c r="C40" s="21" t="n">
        <v>8.300000000000001</v>
      </c>
      <c r="D40" s="21" t="n">
        <v>8.4</v>
      </c>
      <c r="E40" s="7" t="inlineStr">
        <is>
          <t>-</t>
        </is>
      </c>
    </row>
    <row r="41">
      <c r="B41" s="5" t="inlineStr">
        <is>
          <t>Target CoC (from Dashboard)</t>
        </is>
      </c>
      <c r="C41" s="12">
        <f>'Dashboard'!$C$15</f>
        <v/>
      </c>
      <c r="D41" s="12">
        <f>'Dashboard'!$D$15</f>
        <v/>
      </c>
      <c r="E41" s="7" t="inlineStr">
        <is>
          <t>cycles</t>
        </is>
      </c>
    </row>
    <row r="42">
      <c r="B42" s="5" t="inlineStr">
        <is>
          <t>Blowdown recovery on (from Dashboard)</t>
        </is>
      </c>
      <c r="C42" s="23">
        <f>'Dashboard'!$C$16</f>
        <v/>
      </c>
      <c r="D42" s="23">
        <f>'Dashboard'!$D$16</f>
        <v/>
      </c>
      <c r="E42" s="7" t="inlineStr">
        <is>
          <t>-</t>
        </is>
      </c>
    </row>
    <row r="44">
      <c r="B44" s="3" t="inlineStr">
        <is>
          <t>3. Heat balance</t>
        </is>
      </c>
      <c r="C44" s="4" t="n"/>
      <c r="D44" s="4" t="n"/>
      <c r="E44" s="4" t="n"/>
      <c r="F44" s="4" t="n"/>
      <c r="G44" s="4" t="n"/>
    </row>
    <row r="45">
      <c r="B45" s="5" t="inlineStr">
        <is>
          <t>Cooling load Q = IT × 3412 × (1 + other)</t>
        </is>
      </c>
      <c r="C45" s="13">
        <f>'Dashboard'!$C$8*1000*3412*(1+'Cooling Tower &amp; Corrugated Fill'!$C$6)</f>
        <v/>
      </c>
      <c r="D45" s="13">
        <f>'Dashboard'!$C$8*1000*3412*(1+'Cooling Tower &amp; Corrugated Fill'!$C$6)</f>
        <v/>
      </c>
      <c r="E45" s="7" t="inlineStr">
        <is>
          <t>BTU/hr</t>
        </is>
      </c>
    </row>
    <row r="46">
      <c r="B46" s="5" t="inlineStr">
        <is>
          <t>Cooling load</t>
        </is>
      </c>
      <c r="C46" s="12">
        <f>'Cooling Tower &amp; Corrugated Fill'!$C$45/3412/1000</f>
        <v/>
      </c>
      <c r="D46" s="12">
        <f>'Cooling Tower &amp; Corrugated Fill'!$D$45/3412/1000</f>
        <v/>
      </c>
      <c r="E46" s="7" t="inlineStr">
        <is>
          <t>MW</t>
        </is>
      </c>
    </row>
    <row r="47">
      <c r="B47" s="5" t="inlineStr">
        <is>
          <t>Cooling load</t>
        </is>
      </c>
      <c r="C47" s="13">
        <f>'Cooling Tower &amp; Corrugated Fill'!$C$45/12000</f>
        <v/>
      </c>
      <c r="D47" s="13">
        <f>'Cooling Tower &amp; Corrugated Fill'!$D$45/12000</f>
        <v/>
      </c>
      <c r="E47" s="7" t="inlineStr">
        <is>
          <t>tons</t>
        </is>
      </c>
    </row>
    <row r="48">
      <c r="B48" s="5" t="inlineStr">
        <is>
          <t>Fill KaV/L available = c0(SSA/SSAref)(H/Href)(θ/30)^a(L/G)^−n</t>
        </is>
      </c>
      <c r="C48" s="14">
        <f>'Cooling Tower &amp; Corrugated Fill'!$C$25*('Cooling Tower &amp; Corrugated Fill'!$C$34/'Cooling Tower &amp; Corrugated Fill'!$C$26)*('Cooling Tower &amp; Corrugated Fill'!$C$37/'Cooling Tower &amp; Corrugated Fill'!$C$27)*('Cooling Tower &amp; Corrugated Fill'!$C$35/30)^'Cooling Tower &amp; Corrugated Fill'!$C$29*'Cooling Tower &amp; Corrugated Fill'!$C$13^(-'Cooling Tower &amp; Corrugated Fill'!$C$28)</f>
        <v/>
      </c>
      <c r="D48" s="14">
        <f>'Cooling Tower &amp; Corrugated Fill'!$C$25*('Cooling Tower &amp; Corrugated Fill'!$D$34/'Cooling Tower &amp; Corrugated Fill'!$C$26)*('Cooling Tower &amp; Corrugated Fill'!$D$37/'Cooling Tower &amp; Corrugated Fill'!$C$27)*('Cooling Tower &amp; Corrugated Fill'!$D$35/30)^'Cooling Tower &amp; Corrugated Fill'!$C$29*'Cooling Tower &amp; Corrugated Fill'!$C$13^(-'Cooling Tower &amp; Corrugated Fill'!$C$28)</f>
        <v/>
      </c>
      <c r="E48" s="7" t="inlineStr">
        <is>
          <t>-</t>
        </is>
      </c>
    </row>
    <row r="49">
      <c r="B49" s="5" t="inlineStr">
        <is>
          <t>Cold-water temperature (Merkel solver, interpolated)</t>
        </is>
      </c>
      <c r="C49" s="12">
        <f>IFERROR(INDEX('Merkel Solver'!$C$7:$C$406,MATCH('Cooling Tower &amp; Corrugated Fill'!$C$48,'Merkel Solver'!$H$7:$H$406,-1))+(INDEX('Merkel Solver'!$C$7:$C$406,MATCH('Cooling Tower &amp; Corrugated Fill'!$C$48,'Merkel Solver'!$H$7:$H$406,-1)+1)-INDEX('Merkel Solver'!$C$7:$C$406,MATCH('Cooling Tower &amp; Corrugated Fill'!$C$48,'Merkel Solver'!$H$7:$H$406,-1)))*(INDEX('Merkel Solver'!$H$7:$H$406,MATCH('Cooling Tower &amp; Corrugated Fill'!$C$48,'Merkel Solver'!$H$7:$H$406,-1))-'Cooling Tower &amp; Corrugated Fill'!$C$48)/(INDEX('Merkel Solver'!$H$7:$H$406,MATCH('Cooling Tower &amp; Corrugated Fill'!$C$48,'Merkel Solver'!$H$7:$H$406,-1))-INDEX('Merkel Solver'!$H$7:$H$406,MATCH('Cooling Tower &amp; Corrugated Fill'!$C$48,'Merkel Solver'!$H$7:$H$406,-1)+1)),'Dashboard'!$C$9+0.1)</f>
        <v/>
      </c>
      <c r="D49" s="12">
        <f>IFERROR(INDEX('Merkel Solver'!$C$7:$C$406,MATCH('Cooling Tower &amp; Corrugated Fill'!$D$48,'Merkel Solver'!$H$7:$H$406,-1))+(INDEX('Merkel Solver'!$C$7:$C$406,MATCH('Cooling Tower &amp; Corrugated Fill'!$D$48,'Merkel Solver'!$H$7:$H$406,-1)+1)-INDEX('Merkel Solver'!$C$7:$C$406,MATCH('Cooling Tower &amp; Corrugated Fill'!$D$48,'Merkel Solver'!$H$7:$H$406,-1)))*(INDEX('Merkel Solver'!$H$7:$H$406,MATCH('Cooling Tower &amp; Corrugated Fill'!$D$48,'Merkel Solver'!$H$7:$H$406,-1))-'Cooling Tower &amp; Corrugated Fill'!$D$48)/(INDEX('Merkel Solver'!$H$7:$H$406,MATCH('Cooling Tower &amp; Corrugated Fill'!$D$48,'Merkel Solver'!$H$7:$H$406,-1))-INDEX('Merkel Solver'!$H$7:$H$406,MATCH('Cooling Tower &amp; Corrugated Fill'!$D$48,'Merkel Solver'!$H$7:$H$406,-1)+1)),'Dashboard'!$C$9+0.1)</f>
        <v/>
      </c>
      <c r="E49" s="7" t="inlineStr">
        <is>
          <t>°F</t>
        </is>
      </c>
      <c r="F49" s="8" t="inlineStr">
        <is>
          <t>Required KaV/L = available (Chebyshev)</t>
        </is>
      </c>
    </row>
    <row r="50">
      <c r="B50" s="5" t="inlineStr">
        <is>
          <t>Approach (cold water − wet bulb)</t>
        </is>
      </c>
      <c r="C50" s="12">
        <f>'Cooling Tower &amp; Corrugated Fill'!$C$49-'Dashboard'!$C$9</f>
        <v/>
      </c>
      <c r="D50" s="12">
        <f>'Cooling Tower &amp; Corrugated Fill'!$D$49-'Dashboard'!$C$9</f>
        <v/>
      </c>
      <c r="E50" s="7" t="inlineStr">
        <is>
          <t>°F</t>
        </is>
      </c>
    </row>
    <row r="51">
      <c r="B51" s="5" t="inlineStr">
        <is>
          <t>Hot-water temperature</t>
        </is>
      </c>
      <c r="C51" s="12">
        <f>'Cooling Tower &amp; Corrugated Fill'!$C$49+'Cooling Tower &amp; Corrugated Fill'!$C$12</f>
        <v/>
      </c>
      <c r="D51" s="12">
        <f>'Cooling Tower &amp; Corrugated Fill'!$D$49+'Cooling Tower &amp; Corrugated Fill'!$C$12</f>
        <v/>
      </c>
      <c r="E51" s="7" t="inlineStr">
        <is>
          <t>°F</t>
        </is>
      </c>
    </row>
    <row r="52">
      <c r="B52" s="5" t="inlineStr">
        <is>
          <t>Hot-water temperature</t>
        </is>
      </c>
      <c r="C52" s="12">
        <f>('Cooling Tower &amp; Corrugated Fill'!$C$51-32)/1.8</f>
        <v/>
      </c>
      <c r="D52" s="12">
        <f>('Cooling Tower &amp; Corrugated Fill'!$D$51-32)/1.8</f>
        <v/>
      </c>
      <c r="E52" s="7" t="inlineStr">
        <is>
          <t>°C</t>
        </is>
      </c>
    </row>
    <row r="53">
      <c r="B53" s="5" t="inlineStr">
        <is>
          <t>Cold-water temperature</t>
        </is>
      </c>
      <c r="C53" s="12">
        <f>('Cooling Tower &amp; Corrugated Fill'!$C$49-32)/1.8</f>
        <v/>
      </c>
      <c r="D53" s="12">
        <f>('Cooling Tower &amp; Corrugated Fill'!$D$49-32)/1.8</f>
        <v/>
      </c>
      <c r="E53" s="7" t="inlineStr">
        <is>
          <t>°C</t>
        </is>
      </c>
    </row>
    <row r="54">
      <c r="B54" s="5" t="inlineStr">
        <is>
          <t>Chiller COP = COPref·(1 + s·(CWSTref − CWST))</t>
        </is>
      </c>
      <c r="C54" s="14">
        <f>'Cooling Tower &amp; Corrugated Fill'!$C$8*(1+'Cooling Tower &amp; Corrugated Fill'!$C$10*('Cooling Tower &amp; Corrugated Fill'!$C$9-'Cooling Tower &amp; Corrugated Fill'!$C$49))</f>
        <v/>
      </c>
      <c r="D54" s="14">
        <f>'Cooling Tower &amp; Corrugated Fill'!$C$8*(1+'Cooling Tower &amp; Corrugated Fill'!$C$10*('Cooling Tower &amp; Corrugated Fill'!$C$9-'Cooling Tower &amp; Corrugated Fill'!$D$49))</f>
        <v/>
      </c>
      <c r="E54" s="7" t="inlineStr">
        <is>
          <t>-</t>
        </is>
      </c>
    </row>
    <row r="55">
      <c r="B55" s="5" t="inlineStr">
        <is>
          <t>Chiller power</t>
        </is>
      </c>
      <c r="C55" s="13">
        <f>'Cooling Tower &amp; Corrugated Fill'!$C$45/3412/'Cooling Tower &amp; Corrugated Fill'!$C$54</f>
        <v/>
      </c>
      <c r="D55" s="13">
        <f>'Cooling Tower &amp; Corrugated Fill'!$D$45/3412/'Cooling Tower &amp; Corrugated Fill'!$D$54</f>
        <v/>
      </c>
      <c r="E55" s="7" t="inlineStr">
        <is>
          <t>kW</t>
        </is>
      </c>
    </row>
    <row r="56">
      <c r="B56" s="5" t="inlineStr">
        <is>
          <t>Tower Load = Q·(1 + 1/COP)</t>
        </is>
      </c>
      <c r="C56" s="13">
        <f>'Cooling Tower &amp; Corrugated Fill'!$C$45*(1+1/'Cooling Tower &amp; Corrugated Fill'!$C$54)</f>
        <v/>
      </c>
      <c r="D56" s="13">
        <f>'Cooling Tower &amp; Corrugated Fill'!$D$45*(1+1/'Cooling Tower &amp; Corrugated Fill'!$D$54)</f>
        <v/>
      </c>
      <c r="E56" s="7" t="inlineStr">
        <is>
          <t>BTU/hr</t>
        </is>
      </c>
    </row>
    <row r="57">
      <c r="B57" s="5" t="inlineStr">
        <is>
          <t>Tower Load</t>
        </is>
      </c>
      <c r="C57" s="13">
        <f>'Cooling Tower &amp; Corrugated Fill'!$C$56/12000</f>
        <v/>
      </c>
      <c r="D57" s="13">
        <f>'Cooling Tower &amp; Corrugated Fill'!$D$56/12000</f>
        <v/>
      </c>
      <c r="E57" s="7" t="inlineStr">
        <is>
          <t>tons</t>
        </is>
      </c>
    </row>
    <row r="58">
      <c r="B58" s="5" t="inlineStr">
        <is>
          <t>Recirculation Q = TL/(8.34·60·Range)</t>
        </is>
      </c>
      <c r="C58" s="13">
        <f>'Cooling Tower &amp; Corrugated Fill'!$C$56/(8.34*60*'Cooling Tower &amp; Corrugated Fill'!$C$12)</f>
        <v/>
      </c>
      <c r="D58" s="13">
        <f>'Cooling Tower &amp; Corrugated Fill'!$D$56/(8.34*60*'Cooling Tower &amp; Corrugated Fill'!$C$12)</f>
        <v/>
      </c>
      <c r="E58" s="7" t="inlineStr">
        <is>
          <t>gpm</t>
        </is>
      </c>
    </row>
    <row r="59">
      <c r="B59" s="5" t="inlineStr">
        <is>
          <t>Evaporation E = TL/(970 × 8.34)</t>
        </is>
      </c>
      <c r="C59" s="13">
        <f>'Cooling Tower &amp; Corrugated Fill'!$C$56/(970*8.34)</f>
        <v/>
      </c>
      <c r="D59" s="13">
        <f>'Cooling Tower &amp; Corrugated Fill'!$D$56/(970*8.34)</f>
        <v/>
      </c>
      <c r="E59" s="7" t="inlineStr">
        <is>
          <t>gph</t>
        </is>
      </c>
    </row>
    <row r="60">
      <c r="B60" s="5" t="inlineStr">
        <is>
          <t>Evaporation</t>
        </is>
      </c>
      <c r="C60" s="13">
        <f>'Cooling Tower &amp; Corrugated Fill'!$C$59*24</f>
        <v/>
      </c>
      <c r="D60" s="13">
        <f>'Cooling Tower &amp; Corrugated Fill'!$D$59*24</f>
        <v/>
      </c>
      <c r="E60" s="7" t="inlineStr">
        <is>
          <t>gpd</t>
        </is>
      </c>
    </row>
    <row r="61">
      <c r="B61" s="5" t="inlineStr">
        <is>
          <t>Drift D = f_drift × Q_recirc</t>
        </is>
      </c>
      <c r="C61" s="13">
        <f>'Cooling Tower &amp; Corrugated Fill'!$C$58*'Cooling Tower &amp; Corrugated Fill'!$C$38*1440</f>
        <v/>
      </c>
      <c r="D61" s="13">
        <f>'Cooling Tower &amp; Corrugated Fill'!$D$58*'Cooling Tower &amp; Corrugated Fill'!$D$38*1440</f>
        <v/>
      </c>
      <c r="E61" s="7" t="inlineStr">
        <is>
          <t>gpd</t>
        </is>
      </c>
    </row>
    <row r="63">
      <c r="B63" s="3" t="inlineStr">
        <is>
          <t>4. Cycles of concentration — limits on treated makeup</t>
        </is>
      </c>
      <c r="C63" s="4" t="n"/>
      <c r="D63" s="4" t="n"/>
      <c r="E63" s="4" t="n"/>
      <c r="F63" s="4" t="n"/>
      <c r="G63" s="4" t="n"/>
    </row>
    <row r="64">
      <c r="B64" s="11" t="inlineStr">
        <is>
          <t>Constraint</t>
        </is>
      </c>
      <c r="C64" s="11" t="inlineStr">
        <is>
          <t>Current Baseline</t>
        </is>
      </c>
      <c r="D64" s="11" t="inlineStr">
        <is>
          <t>Corrugated Fill + High CoC</t>
        </is>
      </c>
      <c r="E64" s="11" t="inlineStr">
        <is>
          <t>Unit</t>
        </is>
      </c>
      <c r="F64" s="11" t="inlineStr">
        <is>
          <t>Basis</t>
        </is>
      </c>
    </row>
    <row r="65">
      <c r="B65" s="5" t="inlineStr">
        <is>
          <t>Target</t>
        </is>
      </c>
      <c r="C65" s="12">
        <f>'Cooling Tower &amp; Corrugated Fill'!$C$41</f>
        <v/>
      </c>
      <c r="D65" s="12">
        <f>'Cooling Tower &amp; Corrugated Fill'!$D$41</f>
        <v/>
      </c>
      <c r="E65" s="7" t="inlineStr">
        <is>
          <t>cycles</t>
        </is>
      </c>
    </row>
    <row r="66">
      <c r="B66" s="5" t="inlineStr">
        <is>
          <t>LEED Ca (as CaCO3)</t>
        </is>
      </c>
      <c r="C66" s="12">
        <f>'Cooling Tower &amp; Corrugated Fill'!$C$20/MAX('Cooling Tower &amp; Corrugated Fill'!$C$99*2.497,0.001)</f>
        <v/>
      </c>
      <c r="D66" s="12">
        <f>'Cooling Tower &amp; Corrugated Fill'!$C$20/MAX('Cooling Tower &amp; Corrugated Fill'!$C$99*2.497,0.001)</f>
        <v/>
      </c>
      <c r="E66" s="7" t="inlineStr">
        <is>
          <t>cycles</t>
        </is>
      </c>
    </row>
    <row r="67">
      <c r="B67" s="5" t="inlineStr">
        <is>
          <t>LEED alkalinity</t>
        </is>
      </c>
      <c r="C67" s="12">
        <f>'Cooling Tower &amp; Corrugated Fill'!$C$21/MAX('Cooling Tower &amp; Corrugated Fill'!$C$104,0.001)</f>
        <v/>
      </c>
      <c r="D67" s="12">
        <f>'Cooling Tower &amp; Corrugated Fill'!$C$21/MAX('Cooling Tower &amp; Corrugated Fill'!$C$104,0.001)</f>
        <v/>
      </c>
      <c r="E67" s="7" t="inlineStr">
        <is>
          <t>cycles</t>
        </is>
      </c>
    </row>
    <row r="68">
      <c r="B68" s="5" t="inlineStr">
        <is>
          <t>LEED SiO₂</t>
        </is>
      </c>
      <c r="C68" s="12">
        <f>'Cooling Tower &amp; Corrugated Fill'!$C$22/MAX('Cooling Tower &amp; Corrugated Fill'!$C$97,0.001)</f>
        <v/>
      </c>
      <c r="D68" s="12">
        <f>'Cooling Tower &amp; Corrugated Fill'!$C$22/MAX('Cooling Tower &amp; Corrugated Fill'!$C$97,0.001)</f>
        <v/>
      </c>
      <c r="E68" s="7" t="inlineStr">
        <is>
          <t>cycles</t>
        </is>
      </c>
    </row>
    <row r="69">
      <c r="B69" s="5" t="inlineStr">
        <is>
          <t>LEED chloride</t>
        </is>
      </c>
      <c r="C69" s="12">
        <f>'Cooling Tower &amp; Corrugated Fill'!$C$23/MAX('Cooling Tower &amp; Corrugated Fill'!$C$101,0.001)</f>
        <v/>
      </c>
      <c r="D69" s="12">
        <f>'Cooling Tower &amp; Corrugated Fill'!$C$23/MAX('Cooling Tower &amp; Corrugated Fill'!$C$101,0.001)</f>
        <v/>
      </c>
      <c r="E69" s="7" t="inlineStr">
        <is>
          <t>cycles</t>
        </is>
      </c>
    </row>
    <row r="70">
      <c r="B70" s="5" t="inlineStr">
        <is>
          <t>LEED conductivity</t>
        </is>
      </c>
      <c r="C70" s="12">
        <f>'Cooling Tower &amp; Corrugated Fill'!$C$24/MAX('Cooling Tower &amp; Corrugated Fill'!$C$95,0.001)</f>
        <v/>
      </c>
      <c r="D70" s="12">
        <f>'Cooling Tower &amp; Corrugated Fill'!$C$24/MAX('Cooling Tower &amp; Corrugated Fill'!$C$95,0.001)</f>
        <v/>
      </c>
      <c r="E70" s="7" t="inlineStr">
        <is>
          <t>cycles</t>
        </is>
      </c>
    </row>
    <row r="71">
      <c r="B71" s="5" t="inlineStr">
        <is>
          <t>LSI ceiling: 10^((LSImax − pHr + pHs₁)/1.9)</t>
        </is>
      </c>
      <c r="C71" s="12">
        <f>10^(('Cooling Tower &amp; Corrugated Fill'!$C$16-'Cooling Tower &amp; Corrugated Fill'!$C$40+((9.3+(LOG(MAX('Cooling Tower &amp; Corrugated Fill'!$C$96,0.001))-1)/10+(-13.12*LOG('Cooling Tower &amp; Corrugated Fill'!$C$52+273)+34.55))-((LOG(MAX('Cooling Tower &amp; Corrugated Fill'!$C$99*2.497,0.001))-0.4)+LOG(MAX('Cooling Tower &amp; Corrugated Fill'!$C$104,0.001)))))/1.9)</f>
        <v/>
      </c>
      <c r="D71" s="12">
        <f>10^(('Cooling Tower &amp; Corrugated Fill'!$C$16-'Cooling Tower &amp; Corrugated Fill'!$D$40+((9.3+(LOG(MAX('Cooling Tower &amp; Corrugated Fill'!$C$96,0.001))-1)/10+(-13.12*LOG('Cooling Tower &amp; Corrugated Fill'!$D$52+273)+34.55))-((LOG(MAX('Cooling Tower &amp; Corrugated Fill'!$C$99*2.497,0.001))-0.4)+LOG(MAX('Cooling Tower &amp; Corrugated Fill'!$C$104,0.001)))))/1.9)</f>
        <v/>
      </c>
      <c r="E71" s="7" t="inlineStr">
        <is>
          <t>cycles</t>
        </is>
      </c>
    </row>
    <row r="72">
      <c r="B72" s="5" t="inlineStr">
        <is>
          <t>Drift (bleed ≥ 0): 1 + E/D</t>
        </is>
      </c>
      <c r="C72" s="12">
        <f>IF('Cooling Tower &amp; Corrugated Fill'!$C$61&gt;0,1+'Cooling Tower &amp; Corrugated Fill'!$C$60/'Cooling Tower &amp; Corrugated Fill'!$C$61,1000000000)</f>
        <v/>
      </c>
      <c r="D72" s="12">
        <f>IF('Cooling Tower &amp; Corrugated Fill'!$D$61&gt;0,1+'Cooling Tower &amp; Corrugated Fill'!$D$60/'Cooling Tower &amp; Corrugated Fill'!$D$61,1000000000)</f>
        <v/>
      </c>
      <c r="E72" s="7" t="inlineStr">
        <is>
          <t>cycles</t>
        </is>
      </c>
    </row>
    <row r="73">
      <c r="B73" s="5" t="inlineStr">
        <is>
          <t>Most restrictive limit</t>
        </is>
      </c>
      <c r="C73" s="12">
        <f>MIN('Cooling Tower &amp; Corrugated Fill'!$C$65:$C$72)</f>
        <v/>
      </c>
      <c r="D73" s="12">
        <f>MIN('Cooling Tower &amp; Corrugated Fill'!$D$65:$D$72)</f>
        <v/>
      </c>
      <c r="E73" s="7" t="inlineStr">
        <is>
          <t>cycles</t>
        </is>
      </c>
    </row>
    <row r="74">
      <c r="B74" s="5" t="inlineStr">
        <is>
          <t>Limiting constraint</t>
        </is>
      </c>
      <c r="C74" s="23">
        <f>INDEX('Cooling Tower &amp; Corrugated Fill'!$B$65:$B$72,MATCH('Cooling Tower &amp; Corrugated Fill'!$C$73,'Cooling Tower &amp; Corrugated Fill'!$C$65:$C$72,0))</f>
        <v/>
      </c>
      <c r="D74" s="23">
        <f>INDEX('Cooling Tower &amp; Corrugated Fill'!$B$65:$B$72,MATCH('Cooling Tower &amp; Corrugated Fill'!$D$73,'Cooling Tower &amp; Corrugated Fill'!$D$65:$D$72,0))</f>
        <v/>
      </c>
      <c r="E74" s="7" t="inlineStr"/>
    </row>
    <row r="75">
      <c r="B75" s="5" t="inlineStr">
        <is>
          <t>Operating CoC = MAX(min CoC, limit)</t>
        </is>
      </c>
      <c r="C75" s="12">
        <f>MAX('Cooling Tower &amp; Corrugated Fill'!$C$15,'Cooling Tower &amp; Corrugated Fill'!$C$73)</f>
        <v/>
      </c>
      <c r="D75" s="12">
        <f>MAX('Cooling Tower &amp; Corrugated Fill'!$C$15,'Cooling Tower &amp; Corrugated Fill'!$D$73)</f>
        <v/>
      </c>
      <c r="E75" s="7" t="inlineStr">
        <is>
          <t>cycles</t>
        </is>
      </c>
    </row>
    <row r="77">
      <c r="B77" s="3" t="inlineStr">
        <is>
          <t>5. Tower &amp; blowdown-recovery water balance</t>
        </is>
      </c>
      <c r="C77" s="4" t="n"/>
      <c r="D77" s="4" t="n"/>
      <c r="E77" s="4" t="n"/>
      <c r="F77" s="4" t="n"/>
      <c r="G77" s="4" t="n"/>
    </row>
    <row r="78">
      <c r="B78" s="5" t="inlineStr">
        <is>
          <t>BD-RO recovery used Y</t>
        </is>
      </c>
      <c r="C78" s="18">
        <f>IF('Cooling Tower &amp; Corrugated Fill'!$C$42=1,'Cooling Tower &amp; Corrugated Fill'!$C$19,0)</f>
        <v/>
      </c>
      <c r="D78" s="18">
        <f>IF('Cooling Tower &amp; Corrugated Fill'!$D$42=1,'Cooling Tower &amp; Corrugated Fill'!$C$19,0)</f>
        <v/>
      </c>
      <c r="E78" s="7" t="inlineStr">
        <is>
          <t>-</t>
        </is>
      </c>
    </row>
    <row r="79">
      <c r="B79" s="5" t="inlineStr">
        <is>
          <t>TDS mass fraction to brine k</t>
        </is>
      </c>
      <c r="C79" s="22">
        <f>'Cooling Tower &amp; Corrugated Fill'!$E$96</f>
        <v/>
      </c>
      <c r="D79" s="22">
        <f>'Cooling Tower &amp; Corrugated Fill'!$J$96</f>
        <v/>
      </c>
      <c r="E79" s="7" t="inlineStr">
        <is>
          <t>-</t>
        </is>
      </c>
    </row>
    <row r="80">
      <c r="B80" s="5" t="inlineStr">
        <is>
          <t>Blowdown B = (E − (N−1)D)/(N·k − 1 + Y)</t>
        </is>
      </c>
      <c r="C80" s="13">
        <f>MAX(0,('Cooling Tower &amp; Corrugated Fill'!$C$60-('Cooling Tower &amp; Corrugated Fill'!$C$75-1)*'Cooling Tower &amp; Corrugated Fill'!$C$61)/('Cooling Tower &amp; Corrugated Fill'!$C$75*'Cooling Tower &amp; Corrugated Fill'!$E$96-1+'Cooling Tower &amp; Corrugated Fill'!$C$78))</f>
        <v/>
      </c>
      <c r="D80" s="13">
        <f>MAX(0,('Cooling Tower &amp; Corrugated Fill'!$D$60-('Cooling Tower &amp; Corrugated Fill'!$D$75-1)*'Cooling Tower &amp; Corrugated Fill'!$D$61)/('Cooling Tower &amp; Corrugated Fill'!$D$75*'Cooling Tower &amp; Corrugated Fill'!$J$96-1+'Cooling Tower &amp; Corrugated Fill'!$D$78))</f>
        <v/>
      </c>
      <c r="E80" s="7" t="inlineStr">
        <is>
          <t>gpd</t>
        </is>
      </c>
    </row>
    <row r="81">
      <c r="B81" s="5" t="inlineStr">
        <is>
          <t>Course check: B = E/(CoC − 1)</t>
        </is>
      </c>
      <c r="C81" s="13">
        <f>'Cooling Tower &amp; Corrugated Fill'!$C$60/('Cooling Tower &amp; Corrugated Fill'!$C$75-1)</f>
        <v/>
      </c>
      <c r="D81" s="13">
        <f>'Cooling Tower &amp; Corrugated Fill'!$D$60/('Cooling Tower &amp; Corrugated Fill'!$D$75-1)</f>
        <v/>
      </c>
      <c r="E81" s="7" t="inlineStr">
        <is>
          <t>gpd</t>
        </is>
      </c>
      <c r="F81" s="8" t="inlineStr">
        <is>
          <t>Drift lumped into B; recovery off</t>
        </is>
      </c>
    </row>
    <row r="82">
      <c r="B82" s="5" t="inlineStr">
        <is>
          <t>Permeate recycled P = Y·B</t>
        </is>
      </c>
      <c r="C82" s="13">
        <f>'Cooling Tower &amp; Corrugated Fill'!$C$78*'Cooling Tower &amp; Corrugated Fill'!$C$80</f>
        <v/>
      </c>
      <c r="D82" s="13">
        <f>'Cooling Tower &amp; Corrugated Fill'!$D$78*'Cooling Tower &amp; Corrugated Fill'!$D$80</f>
        <v/>
      </c>
      <c r="E82" s="7" t="inlineStr">
        <is>
          <t>gpd</t>
        </is>
      </c>
    </row>
    <row r="83">
      <c r="B83" s="5" t="inlineStr">
        <is>
          <t>Brine / blowdown to sewer</t>
        </is>
      </c>
      <c r="C83" s="13">
        <f>'Cooling Tower &amp; Corrugated Fill'!$C$80-'Cooling Tower &amp; Corrugated Fill'!$C$82</f>
        <v/>
      </c>
      <c r="D83" s="13">
        <f>'Cooling Tower &amp; Corrugated Fill'!$D$80-'Cooling Tower &amp; Corrugated Fill'!$D$82</f>
        <v/>
      </c>
      <c r="E83" s="7" t="inlineStr">
        <is>
          <t>gpd</t>
        </is>
      </c>
    </row>
    <row r="84">
      <c r="B84" s="5" t="inlineStr">
        <is>
          <t>Fresh makeup M_f = E + D + brine</t>
        </is>
      </c>
      <c r="C84" s="13">
        <f>'Cooling Tower &amp; Corrugated Fill'!$C$60+'Cooling Tower &amp; Corrugated Fill'!$C$61+'Cooling Tower &amp; Corrugated Fill'!$C$83</f>
        <v/>
      </c>
      <c r="D84" s="13">
        <f>'Cooling Tower &amp; Corrugated Fill'!$D$60+'Cooling Tower &amp; Corrugated Fill'!$D$61+'Cooling Tower &amp; Corrugated Fill'!$D$83</f>
        <v/>
      </c>
      <c r="E84" s="7" t="inlineStr">
        <is>
          <t>gpd</t>
        </is>
      </c>
    </row>
    <row r="85">
      <c r="B85" s="5" t="inlineStr">
        <is>
          <t>Tower makeup M_t = M_f + P</t>
        </is>
      </c>
      <c r="C85" s="13">
        <f>'Cooling Tower &amp; Corrugated Fill'!$C$84+'Cooling Tower &amp; Corrugated Fill'!$C$82</f>
        <v/>
      </c>
      <c r="D85" s="13">
        <f>'Cooling Tower &amp; Corrugated Fill'!$D$84+'Cooling Tower &amp; Corrugated Fill'!$D$82</f>
        <v/>
      </c>
      <c r="E85" s="7" t="inlineStr">
        <is>
          <t>gpd</t>
        </is>
      </c>
    </row>
    <row r="86">
      <c r="B86" s="5" t="inlineStr">
        <is>
          <t>Raw water intake = M_f / Π recovery</t>
        </is>
      </c>
      <c r="C86" s="13">
        <f>'Cooling Tower &amp; Corrugated Fill'!$C$84/'Process Flow Mass Balance'!$C$14</f>
        <v/>
      </c>
      <c r="D86" s="13">
        <f>'Cooling Tower &amp; Corrugated Fill'!$D$84/'Process Flow Mass Balance'!$C$14</f>
        <v/>
      </c>
      <c r="E86" s="7" t="inlineStr">
        <is>
          <t>gpd</t>
        </is>
      </c>
    </row>
    <row r="87">
      <c r="B87" s="5" t="inlineStr">
        <is>
          <t>Raw water intake</t>
        </is>
      </c>
      <c r="C87" s="13">
        <f>'Cooling Tower &amp; Corrugated Fill'!$C$86*0.00378541</f>
        <v/>
      </c>
      <c r="D87" s="13">
        <f>'Cooling Tower &amp; Corrugated Fill'!$D$86*0.00378541</f>
        <v/>
      </c>
      <c r="E87" s="7" t="inlineStr">
        <is>
          <t>m³/d</t>
        </is>
      </c>
    </row>
    <row r="88">
      <c r="B88" s="5" t="inlineStr">
        <is>
          <t>Treatment rejects</t>
        </is>
      </c>
      <c r="C88" s="13">
        <f>'Cooling Tower &amp; Corrugated Fill'!$C$86-'Cooling Tower &amp; Corrugated Fill'!$C$84</f>
        <v/>
      </c>
      <c r="D88" s="13">
        <f>'Cooling Tower &amp; Corrugated Fill'!$D$86-'Cooling Tower &amp; Corrugated Fill'!$D$84</f>
        <v/>
      </c>
      <c r="E88" s="7" t="inlineStr">
        <is>
          <t>gpd</t>
        </is>
      </c>
    </row>
    <row r="89">
      <c r="B89" s="5" t="inlineStr">
        <is>
          <t>Total discharge to sewer</t>
        </is>
      </c>
      <c r="C89" s="13">
        <f>'Cooling Tower &amp; Corrugated Fill'!$C$88+'Cooling Tower &amp; Corrugated Fill'!$C$83</f>
        <v/>
      </c>
      <c r="D89" s="13">
        <f>'Cooling Tower &amp; Corrugated Fill'!$D$88+'Cooling Tower &amp; Corrugated Fill'!$D$83</f>
        <v/>
      </c>
      <c r="E89" s="7" t="inlineStr">
        <is>
          <t>gpd</t>
        </is>
      </c>
    </row>
    <row r="90">
      <c r="B90" s="5" t="inlineStr">
        <is>
          <t>WUE = intake / IT energy</t>
        </is>
      </c>
      <c r="C90" s="14">
        <f>'Cooling Tower &amp; Corrugated Fill'!$C$86*3.78541/('Dashboard'!$C$8*1000*24)</f>
        <v/>
      </c>
      <c r="D90" s="14">
        <f>'Cooling Tower &amp; Corrugated Fill'!$D$86*3.78541/('Dashboard'!$C$8*1000*24)</f>
        <v/>
      </c>
      <c r="E90" s="7" t="inlineStr">
        <is>
          <t>L/kWh</t>
        </is>
      </c>
    </row>
    <row r="92">
      <c r="B92" s="3" t="inlineStr">
        <is>
          <t>6. Recirculating chemistry  C_r,j = M_f·C_f,j / (D + B·k_j)</t>
        </is>
      </c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</row>
    <row r="93">
      <c r="B93" s="11" t="inlineStr">
        <is>
          <t>Species</t>
        </is>
      </c>
      <c r="C93" s="11" t="inlineStr">
        <is>
          <t>Treated makeup C_f</t>
        </is>
      </c>
      <c r="D93" s="11" t="inlineStr">
        <is>
          <t>BD-RO rejection</t>
        </is>
      </c>
      <c r="E93" s="11" t="inlineStr">
        <is>
          <t>k (Base)</t>
        </is>
      </c>
      <c r="F93" s="11" t="inlineStr">
        <is>
          <t>C_recirc (Base)</t>
        </is>
      </c>
      <c r="G93" s="11" t="inlineStr">
        <is>
          <t>C_permeate (Base)</t>
        </is>
      </c>
      <c r="H93" s="11" t="inlineStr">
        <is>
          <t>C_brine (Base)</t>
        </is>
      </c>
      <c r="I93" s="11" t="inlineStr">
        <is>
          <t>C_blend (Base)</t>
        </is>
      </c>
      <c r="J93" s="11" t="inlineStr">
        <is>
          <t>k (Opt)</t>
        </is>
      </c>
      <c r="K93" s="11" t="inlineStr">
        <is>
          <t>C_recirc (Opt)</t>
        </is>
      </c>
      <c r="L93" s="11" t="inlineStr">
        <is>
          <t>C_permeate (Opt)</t>
        </is>
      </c>
      <c r="M93" s="11" t="inlineStr">
        <is>
          <t>C_brine (Opt)</t>
        </is>
      </c>
      <c r="N93" s="11" t="inlineStr">
        <is>
          <t>C_blend (Opt)</t>
        </is>
      </c>
    </row>
    <row r="94">
      <c r="B94" s="5" t="inlineStr">
        <is>
          <t>pH</t>
        </is>
      </c>
      <c r="C94" s="12">
        <f>'Process Flow Mass Balance'!$W$55</f>
        <v/>
      </c>
      <c r="F94" s="12">
        <f>'Cooling Tower &amp; Corrugated Fill'!$C$40</f>
        <v/>
      </c>
      <c r="G94" s="12">
        <f>'Cooling Tower &amp; Corrugated Fill'!$C$40</f>
        <v/>
      </c>
      <c r="H94" s="12">
        <f>'Cooling Tower &amp; Corrugated Fill'!$C$40</f>
        <v/>
      </c>
      <c r="I94" s="12">
        <f>C94</f>
        <v/>
      </c>
      <c r="K94" s="12">
        <f>'Cooling Tower &amp; Corrugated Fill'!$D$40</f>
        <v/>
      </c>
      <c r="L94" s="12">
        <f>'Cooling Tower &amp; Corrugated Fill'!$D$40</f>
        <v/>
      </c>
      <c r="M94" s="12">
        <f>'Cooling Tower &amp; Corrugated Fill'!$D$40</f>
        <v/>
      </c>
      <c r="N94" s="12">
        <f>C94</f>
        <v/>
      </c>
    </row>
    <row r="95">
      <c r="B95" s="5" t="inlineStr">
        <is>
          <t>EC</t>
        </is>
      </c>
      <c r="C95" s="12">
        <f>'Process Flow Mass Balance'!$X$55</f>
        <v/>
      </c>
      <c r="D95" s="25" t="n">
        <v>0.98</v>
      </c>
      <c r="E95" s="22">
        <f>IF('Cooling Tower &amp; Corrugated Fill'!$C$42=1,1-'Cooling Tower &amp; Corrugated Fill'!$C$19*(1-D95),1)</f>
        <v/>
      </c>
      <c r="F95" s="12">
        <f>'Cooling Tower &amp; Corrugated Fill'!$C$84*C95/MAX('Cooling Tower &amp; Corrugated Fill'!$C$61+'Cooling Tower &amp; Corrugated Fill'!$C$80*E95,0.000000000001)</f>
        <v/>
      </c>
      <c r="G95" s="12">
        <f>IF('Cooling Tower &amp; Corrugated Fill'!$C$42=1,F95*(1-E95)/'Cooling Tower &amp; Corrugated Fill'!$C$19,0)</f>
        <v/>
      </c>
      <c r="H95" s="12">
        <f>IF('Cooling Tower &amp; Corrugated Fill'!$C$42=1,F95*E95/(1-'Cooling Tower &amp; Corrugated Fill'!$C$19),F95)</f>
        <v/>
      </c>
      <c r="I95" s="12">
        <f>('Cooling Tower &amp; Corrugated Fill'!$C$84*C95+'Cooling Tower &amp; Corrugated Fill'!$C$82*G95)/'Cooling Tower &amp; Corrugated Fill'!$C$85</f>
        <v/>
      </c>
      <c r="J95" s="22">
        <f>IF('Cooling Tower &amp; Corrugated Fill'!$D$42=1,1-'Cooling Tower &amp; Corrugated Fill'!$C$19*(1-D95),1)</f>
        <v/>
      </c>
      <c r="K95" s="12">
        <f>'Cooling Tower &amp; Corrugated Fill'!$D$84*C95/MAX('Cooling Tower &amp; Corrugated Fill'!$D$61+'Cooling Tower &amp; Corrugated Fill'!$D$80*J95,0.000000000001)</f>
        <v/>
      </c>
      <c r="L95" s="12">
        <f>IF('Cooling Tower &amp; Corrugated Fill'!$D$42=1,K95*(1-J95)/'Cooling Tower &amp; Corrugated Fill'!$C$19,0)</f>
        <v/>
      </c>
      <c r="M95" s="12">
        <f>IF('Cooling Tower &amp; Corrugated Fill'!$D$42=1,K95*J95/(1-'Cooling Tower &amp; Corrugated Fill'!$C$19),K95)</f>
        <v/>
      </c>
      <c r="N95" s="12">
        <f>('Cooling Tower &amp; Corrugated Fill'!$D$84*C95+'Cooling Tower &amp; Corrugated Fill'!$D$82*L95)/'Cooling Tower &amp; Corrugated Fill'!$D$85</f>
        <v/>
      </c>
    </row>
    <row r="96">
      <c r="B96" s="5" t="inlineStr">
        <is>
          <t>TDS</t>
        </is>
      </c>
      <c r="C96" s="12">
        <f>'Process Flow Mass Balance'!$Y$55</f>
        <v/>
      </c>
      <c r="D96" s="25" t="n">
        <v>0.98</v>
      </c>
      <c r="E96" s="22">
        <f>IF('Cooling Tower &amp; Corrugated Fill'!$C$42=1,1-'Cooling Tower &amp; Corrugated Fill'!$C$19*(1-D96),1)</f>
        <v/>
      </c>
      <c r="F96" s="12">
        <f>'Cooling Tower &amp; Corrugated Fill'!$C$84*C96/MAX('Cooling Tower &amp; Corrugated Fill'!$C$61+'Cooling Tower &amp; Corrugated Fill'!$C$80*E96,0.000000000001)</f>
        <v/>
      </c>
      <c r="G96" s="12">
        <f>IF('Cooling Tower &amp; Corrugated Fill'!$C$42=1,F96*(1-E96)/'Cooling Tower &amp; Corrugated Fill'!$C$19,0)</f>
        <v/>
      </c>
      <c r="H96" s="12">
        <f>IF('Cooling Tower &amp; Corrugated Fill'!$C$42=1,F96*E96/(1-'Cooling Tower &amp; Corrugated Fill'!$C$19),F96)</f>
        <v/>
      </c>
      <c r="I96" s="12">
        <f>('Cooling Tower &amp; Corrugated Fill'!$C$84*C96+'Cooling Tower &amp; Corrugated Fill'!$C$82*G96)/'Cooling Tower &amp; Corrugated Fill'!$C$85</f>
        <v/>
      </c>
      <c r="J96" s="22">
        <f>IF('Cooling Tower &amp; Corrugated Fill'!$D$42=1,1-'Cooling Tower &amp; Corrugated Fill'!$C$19*(1-D96),1)</f>
        <v/>
      </c>
      <c r="K96" s="12">
        <f>'Cooling Tower &amp; Corrugated Fill'!$D$84*C96/MAX('Cooling Tower &amp; Corrugated Fill'!$D$61+'Cooling Tower &amp; Corrugated Fill'!$D$80*J96,0.000000000001)</f>
        <v/>
      </c>
      <c r="L96" s="12">
        <f>IF('Cooling Tower &amp; Corrugated Fill'!$D$42=1,K96*(1-J96)/'Cooling Tower &amp; Corrugated Fill'!$C$19,0)</f>
        <v/>
      </c>
      <c r="M96" s="12">
        <f>IF('Cooling Tower &amp; Corrugated Fill'!$D$42=1,K96*J96/(1-'Cooling Tower &amp; Corrugated Fill'!$C$19),K96)</f>
        <v/>
      </c>
      <c r="N96" s="12">
        <f>('Cooling Tower &amp; Corrugated Fill'!$D$84*C96+'Cooling Tower &amp; Corrugated Fill'!$D$82*L96)/'Cooling Tower &amp; Corrugated Fill'!$D$85</f>
        <v/>
      </c>
    </row>
    <row r="97">
      <c r="B97" s="5" t="inlineStr">
        <is>
          <t>SiO₂</t>
        </is>
      </c>
      <c r="C97" s="12">
        <f>'Process Flow Mass Balance'!$Z$55</f>
        <v/>
      </c>
      <c r="D97" s="25" t="n">
        <v>0.97</v>
      </c>
      <c r="E97" s="22">
        <f>IF('Cooling Tower &amp; Corrugated Fill'!$C$42=1,1-'Cooling Tower &amp; Corrugated Fill'!$C$19*(1-D97),1)</f>
        <v/>
      </c>
      <c r="F97" s="12">
        <f>'Cooling Tower &amp; Corrugated Fill'!$C$84*C97/MAX('Cooling Tower &amp; Corrugated Fill'!$C$61+'Cooling Tower &amp; Corrugated Fill'!$C$80*E97,0.000000000001)</f>
        <v/>
      </c>
      <c r="G97" s="12">
        <f>IF('Cooling Tower &amp; Corrugated Fill'!$C$42=1,F97*(1-E97)/'Cooling Tower &amp; Corrugated Fill'!$C$19,0)</f>
        <v/>
      </c>
      <c r="H97" s="12">
        <f>IF('Cooling Tower &amp; Corrugated Fill'!$C$42=1,F97*E97/(1-'Cooling Tower &amp; Corrugated Fill'!$C$19),F97)</f>
        <v/>
      </c>
      <c r="I97" s="12">
        <f>('Cooling Tower &amp; Corrugated Fill'!$C$84*C97+'Cooling Tower &amp; Corrugated Fill'!$C$82*G97)/'Cooling Tower &amp; Corrugated Fill'!$C$85</f>
        <v/>
      </c>
      <c r="J97" s="22">
        <f>IF('Cooling Tower &amp; Corrugated Fill'!$D$42=1,1-'Cooling Tower &amp; Corrugated Fill'!$C$19*(1-D97),1)</f>
        <v/>
      </c>
      <c r="K97" s="12">
        <f>'Cooling Tower &amp; Corrugated Fill'!$D$84*C97/MAX('Cooling Tower &amp; Corrugated Fill'!$D$61+'Cooling Tower &amp; Corrugated Fill'!$D$80*J97,0.000000000001)</f>
        <v/>
      </c>
      <c r="L97" s="12">
        <f>IF('Cooling Tower &amp; Corrugated Fill'!$D$42=1,K97*(1-J97)/'Cooling Tower &amp; Corrugated Fill'!$C$19,0)</f>
        <v/>
      </c>
      <c r="M97" s="12">
        <f>IF('Cooling Tower &amp; Corrugated Fill'!$D$42=1,K97*J97/(1-'Cooling Tower &amp; Corrugated Fill'!$C$19),K97)</f>
        <v/>
      </c>
      <c r="N97" s="12">
        <f>('Cooling Tower &amp; Corrugated Fill'!$D$84*C97+'Cooling Tower &amp; Corrugated Fill'!$D$82*L97)/'Cooling Tower &amp; Corrugated Fill'!$D$85</f>
        <v/>
      </c>
    </row>
    <row r="98">
      <c r="B98" s="5" t="inlineStr">
        <is>
          <t>Na⁺</t>
        </is>
      </c>
      <c r="C98" s="12">
        <f>'Process Flow Mass Balance'!$AA$55</f>
        <v/>
      </c>
      <c r="D98" s="25" t="n">
        <v>0.97</v>
      </c>
      <c r="E98" s="22">
        <f>IF('Cooling Tower &amp; Corrugated Fill'!$C$42=1,1-'Cooling Tower &amp; Corrugated Fill'!$C$19*(1-D98),1)</f>
        <v/>
      </c>
      <c r="F98" s="12">
        <f>'Cooling Tower &amp; Corrugated Fill'!$C$84*C98/MAX('Cooling Tower &amp; Corrugated Fill'!$C$61+'Cooling Tower &amp; Corrugated Fill'!$C$80*E98,0.000000000001)</f>
        <v/>
      </c>
      <c r="G98" s="12">
        <f>IF('Cooling Tower &amp; Corrugated Fill'!$C$42=1,F98*(1-E98)/'Cooling Tower &amp; Corrugated Fill'!$C$19,0)</f>
        <v/>
      </c>
      <c r="H98" s="12">
        <f>IF('Cooling Tower &amp; Corrugated Fill'!$C$42=1,F98*E98/(1-'Cooling Tower &amp; Corrugated Fill'!$C$19),F98)</f>
        <v/>
      </c>
      <c r="I98" s="12">
        <f>('Cooling Tower &amp; Corrugated Fill'!$C$84*C98+'Cooling Tower &amp; Corrugated Fill'!$C$82*G98)/'Cooling Tower &amp; Corrugated Fill'!$C$85</f>
        <v/>
      </c>
      <c r="J98" s="22">
        <f>IF('Cooling Tower &amp; Corrugated Fill'!$D$42=1,1-'Cooling Tower &amp; Corrugated Fill'!$C$19*(1-D98),1)</f>
        <v/>
      </c>
      <c r="K98" s="12">
        <f>'Cooling Tower &amp; Corrugated Fill'!$D$84*C98/MAX('Cooling Tower &amp; Corrugated Fill'!$D$61+'Cooling Tower &amp; Corrugated Fill'!$D$80*J98,0.000000000001)</f>
        <v/>
      </c>
      <c r="L98" s="12">
        <f>IF('Cooling Tower &amp; Corrugated Fill'!$D$42=1,K98*(1-J98)/'Cooling Tower &amp; Corrugated Fill'!$C$19,0)</f>
        <v/>
      </c>
      <c r="M98" s="12">
        <f>IF('Cooling Tower &amp; Corrugated Fill'!$D$42=1,K98*J98/(1-'Cooling Tower &amp; Corrugated Fill'!$C$19),K98)</f>
        <v/>
      </c>
      <c r="N98" s="12">
        <f>('Cooling Tower &amp; Corrugated Fill'!$D$84*C98+'Cooling Tower &amp; Corrugated Fill'!$D$82*L98)/'Cooling Tower &amp; Corrugated Fill'!$D$85</f>
        <v/>
      </c>
    </row>
    <row r="99">
      <c r="B99" s="5" t="inlineStr">
        <is>
          <t>Ca²⁺</t>
        </is>
      </c>
      <c r="C99" s="12">
        <f>'Process Flow Mass Balance'!$AB$55</f>
        <v/>
      </c>
      <c r="D99" s="25" t="n">
        <v>0.99</v>
      </c>
      <c r="E99" s="22">
        <f>IF('Cooling Tower &amp; Corrugated Fill'!$C$42=1,1-'Cooling Tower &amp; Corrugated Fill'!$C$19*(1-D99),1)</f>
        <v/>
      </c>
      <c r="F99" s="12">
        <f>'Cooling Tower &amp; Corrugated Fill'!$C$84*C99/MAX('Cooling Tower &amp; Corrugated Fill'!$C$61+'Cooling Tower &amp; Corrugated Fill'!$C$80*E99,0.000000000001)</f>
        <v/>
      </c>
      <c r="G99" s="12">
        <f>IF('Cooling Tower &amp; Corrugated Fill'!$C$42=1,F99*(1-E99)/'Cooling Tower &amp; Corrugated Fill'!$C$19,0)</f>
        <v/>
      </c>
      <c r="H99" s="12">
        <f>IF('Cooling Tower &amp; Corrugated Fill'!$C$42=1,F99*E99/(1-'Cooling Tower &amp; Corrugated Fill'!$C$19),F99)</f>
        <v/>
      </c>
      <c r="I99" s="12">
        <f>('Cooling Tower &amp; Corrugated Fill'!$C$84*C99+'Cooling Tower &amp; Corrugated Fill'!$C$82*G99)/'Cooling Tower &amp; Corrugated Fill'!$C$85</f>
        <v/>
      </c>
      <c r="J99" s="22">
        <f>IF('Cooling Tower &amp; Corrugated Fill'!$D$42=1,1-'Cooling Tower &amp; Corrugated Fill'!$C$19*(1-D99),1)</f>
        <v/>
      </c>
      <c r="K99" s="12">
        <f>'Cooling Tower &amp; Corrugated Fill'!$D$84*C99/MAX('Cooling Tower &amp; Corrugated Fill'!$D$61+'Cooling Tower &amp; Corrugated Fill'!$D$80*J99,0.000000000001)</f>
        <v/>
      </c>
      <c r="L99" s="12">
        <f>IF('Cooling Tower &amp; Corrugated Fill'!$D$42=1,K99*(1-J99)/'Cooling Tower &amp; Corrugated Fill'!$C$19,0)</f>
        <v/>
      </c>
      <c r="M99" s="12">
        <f>IF('Cooling Tower &amp; Corrugated Fill'!$D$42=1,K99*J99/(1-'Cooling Tower &amp; Corrugated Fill'!$C$19),K99)</f>
        <v/>
      </c>
      <c r="N99" s="12">
        <f>('Cooling Tower &amp; Corrugated Fill'!$D$84*C99+'Cooling Tower &amp; Corrugated Fill'!$D$82*L99)/'Cooling Tower &amp; Corrugated Fill'!$D$85</f>
        <v/>
      </c>
    </row>
    <row r="100">
      <c r="B100" s="5" t="inlineStr">
        <is>
          <t>Mg²⁺</t>
        </is>
      </c>
      <c r="C100" s="12">
        <f>'Process Flow Mass Balance'!$AC$55</f>
        <v/>
      </c>
      <c r="D100" s="25" t="n">
        <v>0.99</v>
      </c>
      <c r="E100" s="22">
        <f>IF('Cooling Tower &amp; Corrugated Fill'!$C$42=1,1-'Cooling Tower &amp; Corrugated Fill'!$C$19*(1-D100),1)</f>
        <v/>
      </c>
      <c r="F100" s="12">
        <f>'Cooling Tower &amp; Corrugated Fill'!$C$84*C100/MAX('Cooling Tower &amp; Corrugated Fill'!$C$61+'Cooling Tower &amp; Corrugated Fill'!$C$80*E100,0.000000000001)</f>
        <v/>
      </c>
      <c r="G100" s="12">
        <f>IF('Cooling Tower &amp; Corrugated Fill'!$C$42=1,F100*(1-E100)/'Cooling Tower &amp; Corrugated Fill'!$C$19,0)</f>
        <v/>
      </c>
      <c r="H100" s="12">
        <f>IF('Cooling Tower &amp; Corrugated Fill'!$C$42=1,F100*E100/(1-'Cooling Tower &amp; Corrugated Fill'!$C$19),F100)</f>
        <v/>
      </c>
      <c r="I100" s="12">
        <f>('Cooling Tower &amp; Corrugated Fill'!$C$84*C100+'Cooling Tower &amp; Corrugated Fill'!$C$82*G100)/'Cooling Tower &amp; Corrugated Fill'!$C$85</f>
        <v/>
      </c>
      <c r="J100" s="22">
        <f>IF('Cooling Tower &amp; Corrugated Fill'!$D$42=1,1-'Cooling Tower &amp; Corrugated Fill'!$C$19*(1-D100),1)</f>
        <v/>
      </c>
      <c r="K100" s="12">
        <f>'Cooling Tower &amp; Corrugated Fill'!$D$84*C100/MAX('Cooling Tower &amp; Corrugated Fill'!$D$61+'Cooling Tower &amp; Corrugated Fill'!$D$80*J100,0.000000000001)</f>
        <v/>
      </c>
      <c r="L100" s="12">
        <f>IF('Cooling Tower &amp; Corrugated Fill'!$D$42=1,K100*(1-J100)/'Cooling Tower &amp; Corrugated Fill'!$C$19,0)</f>
        <v/>
      </c>
      <c r="M100" s="12">
        <f>IF('Cooling Tower &amp; Corrugated Fill'!$D$42=1,K100*J100/(1-'Cooling Tower &amp; Corrugated Fill'!$C$19),K100)</f>
        <v/>
      </c>
      <c r="N100" s="12">
        <f>('Cooling Tower &amp; Corrugated Fill'!$D$84*C100+'Cooling Tower &amp; Corrugated Fill'!$D$82*L100)/'Cooling Tower &amp; Corrugated Fill'!$D$85</f>
        <v/>
      </c>
    </row>
    <row r="101">
      <c r="B101" s="5" t="inlineStr">
        <is>
          <t>Cl⁻</t>
        </is>
      </c>
      <c r="C101" s="12">
        <f>'Process Flow Mass Balance'!$AD$55</f>
        <v/>
      </c>
      <c r="D101" s="25" t="n">
        <v>0.97</v>
      </c>
      <c r="E101" s="22">
        <f>IF('Cooling Tower &amp; Corrugated Fill'!$C$42=1,1-'Cooling Tower &amp; Corrugated Fill'!$C$19*(1-D101),1)</f>
        <v/>
      </c>
      <c r="F101" s="12">
        <f>'Cooling Tower &amp; Corrugated Fill'!$C$84*C101/MAX('Cooling Tower &amp; Corrugated Fill'!$C$61+'Cooling Tower &amp; Corrugated Fill'!$C$80*E101,0.000000000001)</f>
        <v/>
      </c>
      <c r="G101" s="12">
        <f>IF('Cooling Tower &amp; Corrugated Fill'!$C$42=1,F101*(1-E101)/'Cooling Tower &amp; Corrugated Fill'!$C$19,0)</f>
        <v/>
      </c>
      <c r="H101" s="12">
        <f>IF('Cooling Tower &amp; Corrugated Fill'!$C$42=1,F101*E101/(1-'Cooling Tower &amp; Corrugated Fill'!$C$19),F101)</f>
        <v/>
      </c>
      <c r="I101" s="12">
        <f>('Cooling Tower &amp; Corrugated Fill'!$C$84*C101+'Cooling Tower &amp; Corrugated Fill'!$C$82*G101)/'Cooling Tower &amp; Corrugated Fill'!$C$85</f>
        <v/>
      </c>
      <c r="J101" s="22">
        <f>IF('Cooling Tower &amp; Corrugated Fill'!$D$42=1,1-'Cooling Tower &amp; Corrugated Fill'!$C$19*(1-D101),1)</f>
        <v/>
      </c>
      <c r="K101" s="12">
        <f>'Cooling Tower &amp; Corrugated Fill'!$D$84*C101/MAX('Cooling Tower &amp; Corrugated Fill'!$D$61+'Cooling Tower &amp; Corrugated Fill'!$D$80*J101,0.000000000001)</f>
        <v/>
      </c>
      <c r="L101" s="12">
        <f>IF('Cooling Tower &amp; Corrugated Fill'!$D$42=1,K101*(1-J101)/'Cooling Tower &amp; Corrugated Fill'!$C$19,0)</f>
        <v/>
      </c>
      <c r="M101" s="12">
        <f>IF('Cooling Tower &amp; Corrugated Fill'!$D$42=1,K101*J101/(1-'Cooling Tower &amp; Corrugated Fill'!$C$19),K101)</f>
        <v/>
      </c>
      <c r="N101" s="12">
        <f>('Cooling Tower &amp; Corrugated Fill'!$D$84*C101+'Cooling Tower &amp; Corrugated Fill'!$D$82*L101)/'Cooling Tower &amp; Corrugated Fill'!$D$85</f>
        <v/>
      </c>
    </row>
    <row r="102">
      <c r="B102" s="5" t="inlineStr">
        <is>
          <t>PO₄³⁻</t>
        </is>
      </c>
      <c r="C102" s="12">
        <f>'Process Flow Mass Balance'!$AE$55</f>
        <v/>
      </c>
      <c r="D102" s="25" t="n">
        <v>0.99</v>
      </c>
      <c r="E102" s="22">
        <f>IF('Cooling Tower &amp; Corrugated Fill'!$C$42=1,1-'Cooling Tower &amp; Corrugated Fill'!$C$19*(1-D102),1)</f>
        <v/>
      </c>
      <c r="F102" s="12">
        <f>'Cooling Tower &amp; Corrugated Fill'!$C$84*C102/MAX('Cooling Tower &amp; Corrugated Fill'!$C$61+'Cooling Tower &amp; Corrugated Fill'!$C$80*E102,0.000000000001)</f>
        <v/>
      </c>
      <c r="G102" s="12">
        <f>IF('Cooling Tower &amp; Corrugated Fill'!$C$42=1,F102*(1-E102)/'Cooling Tower &amp; Corrugated Fill'!$C$19,0)</f>
        <v/>
      </c>
      <c r="H102" s="12">
        <f>IF('Cooling Tower &amp; Corrugated Fill'!$C$42=1,F102*E102/(1-'Cooling Tower &amp; Corrugated Fill'!$C$19),F102)</f>
        <v/>
      </c>
      <c r="I102" s="12">
        <f>('Cooling Tower &amp; Corrugated Fill'!$C$84*C102+'Cooling Tower &amp; Corrugated Fill'!$C$82*G102)/'Cooling Tower &amp; Corrugated Fill'!$C$85</f>
        <v/>
      </c>
      <c r="J102" s="22">
        <f>IF('Cooling Tower &amp; Corrugated Fill'!$D$42=1,1-'Cooling Tower &amp; Corrugated Fill'!$C$19*(1-D102),1)</f>
        <v/>
      </c>
      <c r="K102" s="12">
        <f>'Cooling Tower &amp; Corrugated Fill'!$D$84*C102/MAX('Cooling Tower &amp; Corrugated Fill'!$D$61+'Cooling Tower &amp; Corrugated Fill'!$D$80*J102,0.000000000001)</f>
        <v/>
      </c>
      <c r="L102" s="12">
        <f>IF('Cooling Tower &amp; Corrugated Fill'!$D$42=1,K102*(1-J102)/'Cooling Tower &amp; Corrugated Fill'!$C$19,0)</f>
        <v/>
      </c>
      <c r="M102" s="12">
        <f>IF('Cooling Tower &amp; Corrugated Fill'!$D$42=1,K102*J102/(1-'Cooling Tower &amp; Corrugated Fill'!$C$19),K102)</f>
        <v/>
      </c>
      <c r="N102" s="12">
        <f>('Cooling Tower &amp; Corrugated Fill'!$D$84*C102+'Cooling Tower &amp; Corrugated Fill'!$D$82*L102)/'Cooling Tower &amp; Corrugated Fill'!$D$85</f>
        <v/>
      </c>
    </row>
    <row r="103">
      <c r="B103" s="5" t="inlineStr">
        <is>
          <t>SO₄²⁻</t>
        </is>
      </c>
      <c r="C103" s="12">
        <f>'Process Flow Mass Balance'!$AF$55</f>
        <v/>
      </c>
      <c r="D103" s="25" t="n">
        <v>0.99</v>
      </c>
      <c r="E103" s="22">
        <f>IF('Cooling Tower &amp; Corrugated Fill'!$C$42=1,1-'Cooling Tower &amp; Corrugated Fill'!$C$19*(1-D103),1)</f>
        <v/>
      </c>
      <c r="F103" s="12">
        <f>'Cooling Tower &amp; Corrugated Fill'!$C$84*C103/MAX('Cooling Tower &amp; Corrugated Fill'!$C$61+'Cooling Tower &amp; Corrugated Fill'!$C$80*E103,0.000000000001)</f>
        <v/>
      </c>
      <c r="G103" s="12">
        <f>IF('Cooling Tower &amp; Corrugated Fill'!$C$42=1,F103*(1-E103)/'Cooling Tower &amp; Corrugated Fill'!$C$19,0)</f>
        <v/>
      </c>
      <c r="H103" s="12">
        <f>IF('Cooling Tower &amp; Corrugated Fill'!$C$42=1,F103*E103/(1-'Cooling Tower &amp; Corrugated Fill'!$C$19),F103)</f>
        <v/>
      </c>
      <c r="I103" s="12">
        <f>('Cooling Tower &amp; Corrugated Fill'!$C$84*C103+'Cooling Tower &amp; Corrugated Fill'!$C$82*G103)/'Cooling Tower &amp; Corrugated Fill'!$C$85</f>
        <v/>
      </c>
      <c r="J103" s="22">
        <f>IF('Cooling Tower &amp; Corrugated Fill'!$D$42=1,1-'Cooling Tower &amp; Corrugated Fill'!$C$19*(1-D103),1)</f>
        <v/>
      </c>
      <c r="K103" s="12">
        <f>'Cooling Tower &amp; Corrugated Fill'!$D$84*C103/MAX('Cooling Tower &amp; Corrugated Fill'!$D$61+'Cooling Tower &amp; Corrugated Fill'!$D$80*J103,0.000000000001)</f>
        <v/>
      </c>
      <c r="L103" s="12">
        <f>IF('Cooling Tower &amp; Corrugated Fill'!$D$42=1,K103*(1-J103)/'Cooling Tower &amp; Corrugated Fill'!$C$19,0)</f>
        <v/>
      </c>
      <c r="M103" s="12">
        <f>IF('Cooling Tower &amp; Corrugated Fill'!$D$42=1,K103*J103/(1-'Cooling Tower &amp; Corrugated Fill'!$C$19),K103)</f>
        <v/>
      </c>
      <c r="N103" s="12">
        <f>('Cooling Tower &amp; Corrugated Fill'!$D$84*C103+'Cooling Tower &amp; Corrugated Fill'!$D$82*L103)/'Cooling Tower &amp; Corrugated Fill'!$D$85</f>
        <v/>
      </c>
    </row>
    <row r="104">
      <c r="B104" s="5" t="inlineStr">
        <is>
          <t>Alk (CaCO₃)</t>
        </is>
      </c>
      <c r="C104" s="12">
        <f>'Process Flow Mass Balance'!$AG$55</f>
        <v/>
      </c>
      <c r="D104" s="25" t="n">
        <v>0.95</v>
      </c>
      <c r="E104" s="22">
        <f>IF('Cooling Tower &amp; Corrugated Fill'!$C$42=1,1-'Cooling Tower &amp; Corrugated Fill'!$C$19*(1-D104),1)</f>
        <v/>
      </c>
      <c r="F104" s="12">
        <f>'Cooling Tower &amp; Corrugated Fill'!$C$84*C104/MAX('Cooling Tower &amp; Corrugated Fill'!$C$61+'Cooling Tower &amp; Corrugated Fill'!$C$80*E104,0.000000000001)</f>
        <v/>
      </c>
      <c r="G104" s="12">
        <f>IF('Cooling Tower &amp; Corrugated Fill'!$C$42=1,F104*(1-E104)/'Cooling Tower &amp; Corrugated Fill'!$C$19,0)</f>
        <v/>
      </c>
      <c r="H104" s="12">
        <f>IF('Cooling Tower &amp; Corrugated Fill'!$C$42=1,F104*E104/(1-'Cooling Tower &amp; Corrugated Fill'!$C$19),F104)</f>
        <v/>
      </c>
      <c r="I104" s="12">
        <f>('Cooling Tower &amp; Corrugated Fill'!$C$84*C104+'Cooling Tower &amp; Corrugated Fill'!$C$82*G104)/'Cooling Tower &amp; Corrugated Fill'!$C$85</f>
        <v/>
      </c>
      <c r="J104" s="22">
        <f>IF('Cooling Tower &amp; Corrugated Fill'!$D$42=1,1-'Cooling Tower &amp; Corrugated Fill'!$C$19*(1-D104),1)</f>
        <v/>
      </c>
      <c r="K104" s="12">
        <f>'Cooling Tower &amp; Corrugated Fill'!$D$84*C104/MAX('Cooling Tower &amp; Corrugated Fill'!$D$61+'Cooling Tower &amp; Corrugated Fill'!$D$80*J104,0.000000000001)</f>
        <v/>
      </c>
      <c r="L104" s="12">
        <f>IF('Cooling Tower &amp; Corrugated Fill'!$D$42=1,K104*(1-J104)/'Cooling Tower &amp; Corrugated Fill'!$C$19,0)</f>
        <v/>
      </c>
      <c r="M104" s="12">
        <f>IF('Cooling Tower &amp; Corrugated Fill'!$D$42=1,K104*J104/(1-'Cooling Tower &amp; Corrugated Fill'!$C$19),K104)</f>
        <v/>
      </c>
      <c r="N104" s="12">
        <f>('Cooling Tower &amp; Corrugated Fill'!$D$84*C104+'Cooling Tower &amp; Corrugated Fill'!$D$82*L104)/'Cooling Tower &amp; Corrugated Fill'!$D$85</f>
        <v/>
      </c>
    </row>
    <row r="105">
      <c r="B105" s="5" t="inlineStr">
        <is>
          <t>Free Cl₂</t>
        </is>
      </c>
      <c r="C105" s="12">
        <f>'Process Flow Mass Balance'!$AH$55</f>
        <v/>
      </c>
      <c r="D105" s="25" t="n">
        <v>1</v>
      </c>
      <c r="E105" s="22">
        <f>IF('Cooling Tower &amp; Corrugated Fill'!$C$42=1,1-'Cooling Tower &amp; Corrugated Fill'!$C$19*(1-D105),1)</f>
        <v/>
      </c>
      <c r="F105" s="12">
        <f>'Cooling Tower &amp; Corrugated Fill'!$C$17</f>
        <v/>
      </c>
      <c r="G105" s="12">
        <f>IF('Cooling Tower &amp; Corrugated Fill'!$C$42=1,F105*(1-E105)/'Cooling Tower &amp; Corrugated Fill'!$C$19,0)</f>
        <v/>
      </c>
      <c r="H105" s="12">
        <f>IF('Cooling Tower &amp; Corrugated Fill'!$C$42=1,F105*E105/(1-'Cooling Tower &amp; Corrugated Fill'!$C$19),F105)</f>
        <v/>
      </c>
      <c r="I105" s="12">
        <f>('Cooling Tower &amp; Corrugated Fill'!$C$84*C105+'Cooling Tower &amp; Corrugated Fill'!$C$82*G105)/'Cooling Tower &amp; Corrugated Fill'!$C$85</f>
        <v/>
      </c>
      <c r="J105" s="22">
        <f>IF('Cooling Tower &amp; Corrugated Fill'!$D$42=1,1-'Cooling Tower &amp; Corrugated Fill'!$C$19*(1-D105),1)</f>
        <v/>
      </c>
      <c r="K105" s="12">
        <f>'Cooling Tower &amp; Corrugated Fill'!$C$17</f>
        <v/>
      </c>
      <c r="L105" s="12">
        <f>IF('Cooling Tower &amp; Corrugated Fill'!$D$42=1,K105*(1-J105)/'Cooling Tower &amp; Corrugated Fill'!$C$19,0)</f>
        <v/>
      </c>
      <c r="M105" s="12">
        <f>IF('Cooling Tower &amp; Corrugated Fill'!$D$42=1,K105*J105/(1-'Cooling Tower &amp; Corrugated Fill'!$C$19),K105)</f>
        <v/>
      </c>
      <c r="N105" s="12">
        <f>('Cooling Tower &amp; Corrugated Fill'!$D$84*C105+'Cooling Tower &amp; Corrugated Fill'!$D$82*L105)/'Cooling Tower &amp; Corrugated Fill'!$D$85</f>
        <v/>
      </c>
    </row>
    <row r="106">
      <c r="B106" s="5" t="inlineStr">
        <is>
          <t>TSS</t>
        </is>
      </c>
      <c r="C106" s="12">
        <f>'Process Flow Mass Balance'!$AI$55</f>
        <v/>
      </c>
      <c r="D106" s="25" t="n">
        <v>1</v>
      </c>
      <c r="E106" s="22">
        <f>IF('Cooling Tower &amp; Corrugated Fill'!$C$42=1,1-'Cooling Tower &amp; Corrugated Fill'!$C$19*(1-D106),1)</f>
        <v/>
      </c>
      <c r="F106" s="12">
        <f>'Cooling Tower &amp; Corrugated Fill'!$C$84*C106/MAX('Cooling Tower &amp; Corrugated Fill'!$C$61+'Cooling Tower &amp; Corrugated Fill'!$C$80*E106,0.000000000001)</f>
        <v/>
      </c>
      <c r="G106" s="12">
        <f>IF('Cooling Tower &amp; Corrugated Fill'!$C$42=1,F106*(1-E106)/'Cooling Tower &amp; Corrugated Fill'!$C$19,0)</f>
        <v/>
      </c>
      <c r="H106" s="12">
        <f>IF('Cooling Tower &amp; Corrugated Fill'!$C$42=1,F106*E106/(1-'Cooling Tower &amp; Corrugated Fill'!$C$19),F106)</f>
        <v/>
      </c>
      <c r="I106" s="12">
        <f>('Cooling Tower &amp; Corrugated Fill'!$C$84*C106+'Cooling Tower &amp; Corrugated Fill'!$C$82*G106)/'Cooling Tower &amp; Corrugated Fill'!$C$85</f>
        <v/>
      </c>
      <c r="J106" s="22">
        <f>IF('Cooling Tower &amp; Corrugated Fill'!$D$42=1,1-'Cooling Tower &amp; Corrugated Fill'!$C$19*(1-D106),1)</f>
        <v/>
      </c>
      <c r="K106" s="12">
        <f>'Cooling Tower &amp; Corrugated Fill'!$D$84*C106/MAX('Cooling Tower &amp; Corrugated Fill'!$D$61+'Cooling Tower &amp; Corrugated Fill'!$D$80*J106,0.000000000001)</f>
        <v/>
      </c>
      <c r="L106" s="12">
        <f>IF('Cooling Tower &amp; Corrugated Fill'!$D$42=1,K106*(1-J106)/'Cooling Tower &amp; Corrugated Fill'!$C$19,0)</f>
        <v/>
      </c>
      <c r="M106" s="12">
        <f>IF('Cooling Tower &amp; Corrugated Fill'!$D$42=1,K106*J106/(1-'Cooling Tower &amp; Corrugated Fill'!$C$19),K106)</f>
        <v/>
      </c>
      <c r="N106" s="12">
        <f>('Cooling Tower &amp; Corrugated Fill'!$D$84*C106+'Cooling Tower &amp; Corrugated Fill'!$D$82*L106)/'Cooling Tower &amp; Corrugated Fill'!$D$85</f>
        <v/>
      </c>
    </row>
    <row r="107">
      <c r="B107" s="5" t="inlineStr">
        <is>
          <t>BOD₅</t>
        </is>
      </c>
      <c r="C107" s="12">
        <f>'Process Flow Mass Balance'!$AJ$55</f>
        <v/>
      </c>
      <c r="D107" s="25" t="n">
        <v>0.9</v>
      </c>
      <c r="E107" s="22">
        <f>IF('Cooling Tower &amp; Corrugated Fill'!$C$42=1,1-'Cooling Tower &amp; Corrugated Fill'!$C$19*(1-D107),1)</f>
        <v/>
      </c>
      <c r="F107" s="12">
        <f>'Cooling Tower &amp; Corrugated Fill'!$C$84*C107/MAX('Cooling Tower &amp; Corrugated Fill'!$C$61+'Cooling Tower &amp; Corrugated Fill'!$C$80*E107,0.000000000001)</f>
        <v/>
      </c>
      <c r="G107" s="12">
        <f>IF('Cooling Tower &amp; Corrugated Fill'!$C$42=1,F107*(1-E107)/'Cooling Tower &amp; Corrugated Fill'!$C$19,0)</f>
        <v/>
      </c>
      <c r="H107" s="12">
        <f>IF('Cooling Tower &amp; Corrugated Fill'!$C$42=1,F107*E107/(1-'Cooling Tower &amp; Corrugated Fill'!$C$19),F107)</f>
        <v/>
      </c>
      <c r="I107" s="12">
        <f>('Cooling Tower &amp; Corrugated Fill'!$C$84*C107+'Cooling Tower &amp; Corrugated Fill'!$C$82*G107)/'Cooling Tower &amp; Corrugated Fill'!$C$85</f>
        <v/>
      </c>
      <c r="J107" s="22">
        <f>IF('Cooling Tower &amp; Corrugated Fill'!$D$42=1,1-'Cooling Tower &amp; Corrugated Fill'!$C$19*(1-D107),1)</f>
        <v/>
      </c>
      <c r="K107" s="12">
        <f>'Cooling Tower &amp; Corrugated Fill'!$D$84*C107/MAX('Cooling Tower &amp; Corrugated Fill'!$D$61+'Cooling Tower &amp; Corrugated Fill'!$D$80*J107,0.000000000001)</f>
        <v/>
      </c>
      <c r="L107" s="12">
        <f>IF('Cooling Tower &amp; Corrugated Fill'!$D$42=1,K107*(1-J107)/'Cooling Tower &amp; Corrugated Fill'!$C$19,0)</f>
        <v/>
      </c>
      <c r="M107" s="12">
        <f>IF('Cooling Tower &amp; Corrugated Fill'!$D$42=1,K107*J107/(1-'Cooling Tower &amp; Corrugated Fill'!$C$19),K107)</f>
        <v/>
      </c>
      <c r="N107" s="12">
        <f>('Cooling Tower &amp; Corrugated Fill'!$D$84*C107+'Cooling Tower &amp; Corrugated Fill'!$D$82*L107)/'Cooling Tower &amp; Corrugated Fill'!$D$85</f>
        <v/>
      </c>
    </row>
    <row r="108">
      <c r="B108" s="5" t="inlineStr">
        <is>
          <t>COD</t>
        </is>
      </c>
      <c r="C108" s="12">
        <f>'Process Flow Mass Balance'!$AK$55</f>
        <v/>
      </c>
      <c r="D108" s="25" t="n">
        <v>0.9</v>
      </c>
      <c r="E108" s="22">
        <f>IF('Cooling Tower &amp; Corrugated Fill'!$C$42=1,1-'Cooling Tower &amp; Corrugated Fill'!$C$19*(1-D108),1)</f>
        <v/>
      </c>
      <c r="F108" s="12">
        <f>'Cooling Tower &amp; Corrugated Fill'!$C$84*C108/MAX('Cooling Tower &amp; Corrugated Fill'!$C$61+'Cooling Tower &amp; Corrugated Fill'!$C$80*E108,0.000000000001)</f>
        <v/>
      </c>
      <c r="G108" s="12">
        <f>IF('Cooling Tower &amp; Corrugated Fill'!$C$42=1,F108*(1-E108)/'Cooling Tower &amp; Corrugated Fill'!$C$19,0)</f>
        <v/>
      </c>
      <c r="H108" s="12">
        <f>IF('Cooling Tower &amp; Corrugated Fill'!$C$42=1,F108*E108/(1-'Cooling Tower &amp; Corrugated Fill'!$C$19),F108)</f>
        <v/>
      </c>
      <c r="I108" s="12">
        <f>('Cooling Tower &amp; Corrugated Fill'!$C$84*C108+'Cooling Tower &amp; Corrugated Fill'!$C$82*G108)/'Cooling Tower &amp; Corrugated Fill'!$C$85</f>
        <v/>
      </c>
      <c r="J108" s="22">
        <f>IF('Cooling Tower &amp; Corrugated Fill'!$D$42=1,1-'Cooling Tower &amp; Corrugated Fill'!$C$19*(1-D108),1)</f>
        <v/>
      </c>
      <c r="K108" s="12">
        <f>'Cooling Tower &amp; Corrugated Fill'!$D$84*C108/MAX('Cooling Tower &amp; Corrugated Fill'!$D$61+'Cooling Tower &amp; Corrugated Fill'!$D$80*J108,0.000000000001)</f>
        <v/>
      </c>
      <c r="L108" s="12">
        <f>IF('Cooling Tower &amp; Corrugated Fill'!$D$42=1,K108*(1-J108)/'Cooling Tower &amp; Corrugated Fill'!$C$19,0)</f>
        <v/>
      </c>
      <c r="M108" s="12">
        <f>IF('Cooling Tower &amp; Corrugated Fill'!$D$42=1,K108*J108/(1-'Cooling Tower &amp; Corrugated Fill'!$C$19),K108)</f>
        <v/>
      </c>
      <c r="N108" s="12">
        <f>('Cooling Tower &amp; Corrugated Fill'!$D$84*C108+'Cooling Tower &amp; Corrugated Fill'!$D$82*L108)/'Cooling Tower &amp; Corrugated Fill'!$D$85</f>
        <v/>
      </c>
    </row>
    <row r="110">
      <c r="B110" s="3" t="inlineStr">
        <is>
          <t>7. Scaling indices, silica &amp; LEED v4 WE credit</t>
        </is>
      </c>
      <c r="C110" s="4" t="n"/>
      <c r="D110" s="4" t="n"/>
      <c r="E110" s="4" t="n"/>
      <c r="F110" s="4" t="n"/>
      <c r="G110" s="4" t="n"/>
    </row>
    <row r="111">
      <c r="B111" s="11" t="inlineStr">
        <is>
          <t>Index</t>
        </is>
      </c>
      <c r="C111" s="11" t="inlineStr">
        <is>
          <t>Current Baseline</t>
        </is>
      </c>
      <c r="D111" s="11" t="inlineStr">
        <is>
          <t>Corrugated Fill + High CoC</t>
        </is>
      </c>
      <c r="E111" s="11" t="inlineStr">
        <is>
          <t>Unit</t>
        </is>
      </c>
      <c r="F111" s="11" t="inlineStr">
        <is>
          <t>Status / basis</t>
        </is>
      </c>
    </row>
    <row r="112">
      <c r="B112" s="5" t="inlineStr">
        <is>
          <t>Makeup pHs (cold water)</t>
        </is>
      </c>
      <c r="C112" s="12">
        <f>((9.3+(LOG(MAX('Cooling Tower &amp; Corrugated Fill'!$C$96,0.001))-1)/10+(-13.12*LOG('Cooling Tower &amp; Corrugated Fill'!$C$53+273)+34.55))-((LOG(MAX('Cooling Tower &amp; Corrugated Fill'!$C$99*2.497,0.001))-0.4)+LOG(MAX('Cooling Tower &amp; Corrugated Fill'!$C$104,0.001))))</f>
        <v/>
      </c>
      <c r="D112" s="12">
        <f>((9.3+(LOG(MAX('Cooling Tower &amp; Corrugated Fill'!$C$96,0.001))-1)/10+(-13.12*LOG('Cooling Tower &amp; Corrugated Fill'!$D$53+273)+34.55))-((LOG(MAX('Cooling Tower &amp; Corrugated Fill'!$C$99*2.497,0.001))-0.4)+LOG(MAX('Cooling Tower &amp; Corrugated Fill'!$C$104,0.001))))</f>
        <v/>
      </c>
      <c r="E112" s="7" t="inlineStr">
        <is>
          <t>-</t>
        </is>
      </c>
    </row>
    <row r="113">
      <c r="B113" s="5" t="inlineStr">
        <is>
          <t>Makeup LSI = pH − pHs</t>
        </is>
      </c>
      <c r="C113" s="12">
        <f>'Cooling Tower &amp; Corrugated Fill'!$C$94-'Cooling Tower &amp; Corrugated Fill'!$C$112</f>
        <v/>
      </c>
      <c r="D113" s="12">
        <f>'Cooling Tower &amp; Corrugated Fill'!$C$94-'Cooling Tower &amp; Corrugated Fill'!$D$112</f>
        <v/>
      </c>
      <c r="E113" s="7" t="inlineStr">
        <is>
          <t>-</t>
        </is>
      </c>
    </row>
    <row r="114">
      <c r="B114" s="5" t="inlineStr">
        <is>
          <t>Recirc pHs (cold water)</t>
        </is>
      </c>
      <c r="C114" s="12">
        <f>((9.3+(LOG(MAX('Cooling Tower &amp; Corrugated Fill'!$F$96,0.001))-1)/10+(-13.12*LOG('Cooling Tower &amp; Corrugated Fill'!$C$53+273)+34.55))-((LOG(MAX('Cooling Tower &amp; Corrugated Fill'!$F$99*2.497,0.001))-0.4)+LOG(MAX('Cooling Tower &amp; Corrugated Fill'!$F$104,0.001))))</f>
        <v/>
      </c>
      <c r="D114" s="12">
        <f>((9.3+(LOG(MAX('Cooling Tower &amp; Corrugated Fill'!$K$96,0.001))-1)/10+(-13.12*LOG('Cooling Tower &amp; Corrugated Fill'!$D$53+273)+34.55))-((LOG(MAX('Cooling Tower &amp; Corrugated Fill'!$K$99*2.497,0.001))-0.4)+LOG(MAX('Cooling Tower &amp; Corrugated Fill'!$K$104,0.001))))</f>
        <v/>
      </c>
      <c r="E114" s="7" t="inlineStr">
        <is>
          <t>-</t>
        </is>
      </c>
    </row>
    <row r="115">
      <c r="B115" s="5" t="inlineStr">
        <is>
          <t>Recirc LSI (cold water)</t>
        </is>
      </c>
      <c r="C115" s="12">
        <f>'Cooling Tower &amp; Corrugated Fill'!$C$40-'Cooling Tower &amp; Corrugated Fill'!$C$114</f>
        <v/>
      </c>
      <c r="D115" s="12">
        <f>'Cooling Tower &amp; Corrugated Fill'!$D$40-'Cooling Tower &amp; Corrugated Fill'!$D$114</f>
        <v/>
      </c>
      <c r="E115" s="7" t="inlineStr">
        <is>
          <t>-</t>
        </is>
      </c>
    </row>
    <row r="116">
      <c r="B116" s="5" t="inlineStr">
        <is>
          <t>Recirc pHs (hot water)</t>
        </is>
      </c>
      <c r="C116" s="12">
        <f>((9.3+(LOG(MAX('Cooling Tower &amp; Corrugated Fill'!$F$96,0.001))-1)/10+(-13.12*LOG('Cooling Tower &amp; Corrugated Fill'!$C$52+273)+34.55))-((LOG(MAX('Cooling Tower &amp; Corrugated Fill'!$F$99*2.497,0.001))-0.4)+LOG(MAX('Cooling Tower &amp; Corrugated Fill'!$F$104,0.001))))</f>
        <v/>
      </c>
      <c r="D116" s="12">
        <f>((9.3+(LOG(MAX('Cooling Tower &amp; Corrugated Fill'!$K$96,0.001))-1)/10+(-13.12*LOG('Cooling Tower &amp; Corrugated Fill'!$D$52+273)+34.55))-((LOG(MAX('Cooling Tower &amp; Corrugated Fill'!$K$99*2.497,0.001))-0.4)+LOG(MAX('Cooling Tower &amp; Corrugated Fill'!$K$104,0.001))))</f>
        <v/>
      </c>
      <c r="E116" s="7" t="inlineStr">
        <is>
          <t>-</t>
        </is>
      </c>
    </row>
    <row r="117">
      <c r="B117" s="5" t="inlineStr">
        <is>
          <t>Recirc LSI (hot water)</t>
        </is>
      </c>
      <c r="C117" s="12">
        <f>'Cooling Tower &amp; Corrugated Fill'!$C$40-'Cooling Tower &amp; Corrugated Fill'!$C$116</f>
        <v/>
      </c>
      <c r="D117" s="12">
        <f>'Cooling Tower &amp; Corrugated Fill'!$D$40-'Cooling Tower &amp; Corrugated Fill'!$D$116</f>
        <v/>
      </c>
      <c r="E117" s="7" t="inlineStr">
        <is>
          <t>-</t>
        </is>
      </c>
    </row>
    <row r="118">
      <c r="B118" s="5" t="inlineStr">
        <is>
          <t>Recirc RSI = 2pHs − pH (hot water)</t>
        </is>
      </c>
      <c r="C118" s="12">
        <f>2*'Cooling Tower &amp; Corrugated Fill'!$C$116-'Cooling Tower &amp; Corrugated Fill'!$C$40</f>
        <v/>
      </c>
      <c r="D118" s="12">
        <f>2*'Cooling Tower &amp; Corrugated Fill'!$D$116-'Cooling Tower &amp; Corrugated Fill'!$D$40</f>
        <v/>
      </c>
      <c r="E118" s="7" t="inlineStr">
        <is>
          <t>-</t>
        </is>
      </c>
    </row>
    <row r="119">
      <c r="B119" s="5" t="inlineStr">
        <is>
          <t>LSI status</t>
        </is>
      </c>
      <c r="C119" s="23">
        <f>IF('Cooling Tower &amp; Corrugated Fill'!$C$117&gt;2,"Severe scaling",IF('Cooling Tower &amp; Corrugated Fill'!$C$117&gt;0.5,"Scale-forming",IF('Cooling Tower &amp; Corrugated Fill'!$C$117&gt;=-0.5,"Balanced",IF('Cooling Tower &amp; Corrugated Fill'!$C$117&gt;=-2,"Corrosive","Severely corrosive"))))</f>
        <v/>
      </c>
      <c r="D119" s="23">
        <f>IF('Cooling Tower &amp; Corrugated Fill'!$D$117&gt;2,"Severe scaling",IF('Cooling Tower &amp; Corrugated Fill'!$D$117&gt;0.5,"Scale-forming",IF('Cooling Tower &amp; Corrugated Fill'!$D$117&gt;=-0.5,"Balanced",IF('Cooling Tower &amp; Corrugated Fill'!$D$117&gt;=-2,"Corrosive","Severely corrosive"))))</f>
        <v/>
      </c>
      <c r="E119" s="7" t="inlineStr"/>
    </row>
    <row r="120">
      <c r="B120" s="5" t="inlineStr">
        <is>
          <t>RSI status</t>
        </is>
      </c>
      <c r="C120" s="23">
        <f>IF('Cooling Tower &amp; Corrugated Fill'!$C$118&lt;5.5,"Heavy scale",IF('Cooling Tower &amp; Corrugated Fill'!$C$118&lt;6.2,"Scale-forming",IF('Cooling Tower &amp; Corrugated Fill'!$C$118&lt;=6.8,"Stable",IF('Cooling Tower &amp; Corrugated Fill'!$C$118&lt;=8.5,"Corrosive","Severely corrosive"))))</f>
        <v/>
      </c>
      <c r="D120" s="23">
        <f>IF('Cooling Tower &amp; Corrugated Fill'!$D$118&lt;5.5,"Heavy scale",IF('Cooling Tower &amp; Corrugated Fill'!$D$118&lt;6.2,"Scale-forming",IF('Cooling Tower &amp; Corrugated Fill'!$D$118&lt;=6.8,"Stable",IF('Cooling Tower &amp; Corrugated Fill'!$D$118&lt;=8.5,"Corrosive","Severely corrosive"))))</f>
        <v/>
      </c>
      <c r="E120" s="7" t="inlineStr"/>
    </row>
    <row r="121">
      <c r="B121" s="5" t="inlineStr">
        <is>
          <t>Silica check</t>
        </is>
      </c>
      <c r="C121" s="17">
        <f>IF('Cooling Tower &amp; Corrugated Fill'!$F$97&gt;'Cooling Tower &amp; Corrugated Fill'!$C$18,"❌ Blowdown alert","✅ Below alert")</f>
        <v/>
      </c>
      <c r="D121" s="17">
        <f>IF('Cooling Tower &amp; Corrugated Fill'!$K$97&gt;'Cooling Tower &amp; Corrugated Fill'!$C$18,"❌ Blowdown alert","✅ Below alert")</f>
        <v/>
      </c>
      <c r="E121" s="7" t="inlineStr"/>
    </row>
    <row r="122">
      <c r="B122" s="5" t="inlineStr">
        <is>
          <t>All LEED Table 1 limits met (1/0)</t>
        </is>
      </c>
      <c r="C122" s="23">
        <f>IF(AND('Cooling Tower &amp; Corrugated Fill'!$F$99*2.497&lt;='Cooling Tower &amp; Corrugated Fill'!$C$20*1.0001,'Cooling Tower &amp; Corrugated Fill'!$F$104&lt;='Cooling Tower &amp; Corrugated Fill'!$C$21*1.0001,'Cooling Tower &amp; Corrugated Fill'!$F$97&lt;='Cooling Tower &amp; Corrugated Fill'!$C$22*1.0001,'Cooling Tower &amp; Corrugated Fill'!$F$101&lt;='Cooling Tower &amp; Corrugated Fill'!$C$23*1.0001,'Cooling Tower &amp; Corrugated Fill'!$F$95&lt;='Cooling Tower &amp; Corrugated Fill'!$C$24*1.0001),1,0)</f>
        <v/>
      </c>
      <c r="D122" s="23">
        <f>IF(AND('Cooling Tower &amp; Corrugated Fill'!$K$99*2.497&lt;='Cooling Tower &amp; Corrugated Fill'!$C$20*1.0001,'Cooling Tower &amp; Corrugated Fill'!$K$104&lt;='Cooling Tower &amp; Corrugated Fill'!$C$21*1.0001,'Cooling Tower &amp; Corrugated Fill'!$K$97&lt;='Cooling Tower &amp; Corrugated Fill'!$C$22*1.0001,'Cooling Tower &amp; Corrugated Fill'!$K$101&lt;='Cooling Tower &amp; Corrugated Fill'!$C$23*1.0001,'Cooling Tower &amp; Corrugated Fill'!$K$95&lt;='Cooling Tower &amp; Corrugated Fill'!$C$24*1.0001),1,0)</f>
        <v/>
      </c>
      <c r="E122" s="7" t="inlineStr">
        <is>
          <t>-</t>
        </is>
      </c>
    </row>
    <row r="123">
      <c r="B123" s="5" t="inlineStr">
        <is>
          <t>LEED max cycles (≤ 10)</t>
        </is>
      </c>
      <c r="C123" s="12">
        <f>MIN('Cooling Tower &amp; Corrugated Fill'!$C$66,'Cooling Tower &amp; Corrugated Fill'!$C$67,'Cooling Tower &amp; Corrugated Fill'!$C$68,'Cooling Tower &amp; Corrugated Fill'!$C$69,'Cooling Tower &amp; Corrugated Fill'!$C$70,10)</f>
        <v/>
      </c>
      <c r="D123" s="12">
        <f>MIN('Cooling Tower &amp; Corrugated Fill'!$D$66,'Cooling Tower &amp; Corrugated Fill'!$D$67,'Cooling Tower &amp; Corrugated Fill'!$D$68,'Cooling Tower &amp; Corrugated Fill'!$D$69,'Cooling Tower &amp; Corrugated Fill'!$D$70,10)</f>
        <v/>
      </c>
      <c r="E123" s="7" t="inlineStr">
        <is>
          <t>cycles</t>
        </is>
      </c>
    </row>
    <row r="124">
      <c r="B124" s="5" t="inlineStr">
        <is>
          <t>Recycled non-potable share of makeup</t>
        </is>
      </c>
      <c r="C124" s="18">
        <f>('Cooling Tower &amp; Corrugated Fill'!$C$82+IF('Source Library'!$J$30=1,'Cooling Tower &amp; Corrugated Fill'!$C$84,0))/'Cooling Tower &amp; Corrugated Fill'!$C$85</f>
        <v/>
      </c>
      <c r="D124" s="18">
        <f>('Cooling Tower &amp; Corrugated Fill'!$D$82+IF('Source Library'!$J$30=1,'Cooling Tower &amp; Corrugated Fill'!$D$84,0))/'Cooling Tower &amp; Corrugated Fill'!$D$85</f>
        <v/>
      </c>
      <c r="E124" s="7" t="inlineStr">
        <is>
          <t>-</t>
        </is>
      </c>
    </row>
    <row r="125">
      <c r="B125" s="5" t="inlineStr">
        <is>
          <t>LEED v4 WE Cooling Tower Water Use points</t>
        </is>
      </c>
      <c r="C125" s="13">
        <f>IF(OR(AND('Cooling Tower &amp; Corrugated Fill'!$C$75&gt;=10-0.000001,OR('Dashboard'!$C$11=1,'Cooling Tower &amp; Corrugated Fill'!$C$42=1)),AND('Cooling Tower &amp; Corrugated Fill'!$C$75&gt;='Cooling Tower &amp; Corrugated Fill'!$C$123-0.000001,'Cooling Tower &amp; Corrugated Fill'!$C$124&gt;=0.2)),2,IF('Cooling Tower &amp; Corrugated Fill'!$C$75&gt;='Cooling Tower &amp; Corrugated Fill'!$C$123-0.000001,1,0))</f>
        <v/>
      </c>
      <c r="D125" s="13">
        <f>IF(OR(AND('Cooling Tower &amp; Corrugated Fill'!$D$75&gt;=10-0.000001,OR('Dashboard'!$C$11=1,'Cooling Tower &amp; Corrugated Fill'!$D$42=1)),AND('Cooling Tower &amp; Corrugated Fill'!$D$75&gt;='Cooling Tower &amp; Corrugated Fill'!$D$123-0.000001,'Cooling Tower &amp; Corrugated Fill'!$D$124&gt;=0.2)),2,IF('Cooling Tower &amp; Corrugated Fill'!$D$75&gt;='Cooling Tower &amp; Corrugated Fill'!$D$123-0.000001,1,0))</f>
        <v/>
      </c>
      <c r="E125" s="7" t="inlineStr">
        <is>
          <t>pts</t>
        </is>
      </c>
      <c r="F125" s="8" t="inlineStr">
        <is>
          <t>1 pt: max cycles; 2 pts: ≥10 cycles w/ treatment or ≥20 % recycled</t>
        </is>
      </c>
    </row>
    <row r="127">
      <c r="B127" s="3" t="inlineStr">
        <is>
          <t>8. Corrugated fill impact — Baseline vs Upgrade</t>
        </is>
      </c>
      <c r="C127" s="4" t="n"/>
      <c r="D127" s="4" t="n"/>
      <c r="E127" s="4" t="n"/>
      <c r="F127" s="4" t="n"/>
      <c r="G127" s="4" t="n"/>
    </row>
    <row r="128">
      <c r="B128" s="5" t="inlineStr">
        <is>
          <t>Approach improvement</t>
        </is>
      </c>
      <c r="C128" s="12">
        <f>'Cooling Tower &amp; Corrugated Fill'!$C$50-'Cooling Tower &amp; Corrugated Fill'!$D$50</f>
        <v/>
      </c>
      <c r="D128" s="7" t="inlineStr">
        <is>
          <t>°F</t>
        </is>
      </c>
    </row>
    <row r="129">
      <c r="B129" s="5" t="inlineStr">
        <is>
          <t>COP improvement</t>
        </is>
      </c>
      <c r="C129" s="18">
        <f>'Cooling Tower &amp; Corrugated Fill'!$D$54/'Cooling Tower &amp; Corrugated Fill'!$C$54-1</f>
        <v/>
      </c>
      <c r="D129" s="7" t="inlineStr">
        <is>
          <t>-</t>
        </is>
      </c>
    </row>
    <row r="130">
      <c r="B130" s="5" t="inlineStr">
        <is>
          <t>Evaporation reduction</t>
        </is>
      </c>
      <c r="C130" s="13">
        <f>'Cooling Tower &amp; Corrugated Fill'!$C$60-'Cooling Tower &amp; Corrugated Fill'!$D$60</f>
        <v/>
      </c>
      <c r="D130" s="7" t="inlineStr">
        <is>
          <t>gpd</t>
        </is>
      </c>
    </row>
    <row r="131">
      <c r="B131" s="5" t="inlineStr">
        <is>
          <t>Drift reduction</t>
        </is>
      </c>
      <c r="C131" s="13">
        <f>'Cooling Tower &amp; Corrugated Fill'!$C$61-'Cooling Tower &amp; Corrugated Fill'!$D$61</f>
        <v/>
      </c>
      <c r="D131" s="7" t="inlineStr">
        <is>
          <t>gpd</t>
        </is>
      </c>
    </row>
    <row r="132">
      <c r="B132" s="5" t="inlineStr">
        <is>
          <t>Blowdown-to-sewer reduction</t>
        </is>
      </c>
      <c r="C132" s="13">
        <f>'Cooling Tower &amp; Corrugated Fill'!$C$83-'Cooling Tower &amp; Corrugated Fill'!$D$83</f>
        <v/>
      </c>
      <c r="D132" s="7" t="inlineStr">
        <is>
          <t>gpd</t>
        </is>
      </c>
    </row>
    <row r="133">
      <c r="B133" s="5" t="inlineStr">
        <is>
          <t>Raw water saved</t>
        </is>
      </c>
      <c r="C133" s="13">
        <f>'Cooling Tower &amp; Corrugated Fill'!$C$86-'Cooling Tower &amp; Corrugated Fill'!$D$86</f>
        <v/>
      </c>
      <c r="D133" s="7" t="inlineStr">
        <is>
          <t>gpd</t>
        </is>
      </c>
    </row>
    <row r="134">
      <c r="B134" s="5" t="inlineStr">
        <is>
          <t>Fan static pressure increase</t>
        </is>
      </c>
      <c r="C134" s="28">
        <f>'Pumping &amp; Fan Hydraulics'!$D$24-'Pumping &amp; Fan Hydraulics'!$C$24</f>
        <v/>
      </c>
      <c r="D134" s="7" t="inlineStr">
        <is>
          <t>Pa</t>
        </is>
      </c>
    </row>
    <row r="135">
      <c r="B135" s="5" t="inlineStr">
        <is>
          <t>Fan power change</t>
        </is>
      </c>
      <c r="C135" s="28">
        <f>'Pumping &amp; Fan Hydraulics'!$D$26-'Pumping &amp; Fan Hydraulics'!$C$26</f>
        <v/>
      </c>
      <c r="D135" s="7" t="inlineStr">
        <is>
          <t>kW</t>
        </is>
      </c>
    </row>
    <row r="136">
      <c r="B136" s="5" t="inlineStr">
        <is>
          <t>Chiller power saved</t>
        </is>
      </c>
      <c r="C136" s="28">
        <f>'Cooling Tower &amp; Corrugated Fill'!$C$55-'Cooling Tower &amp; Corrugated Fill'!$D$55</f>
        <v/>
      </c>
      <c r="D136" s="7" t="inlineStr">
        <is>
          <t>kW</t>
        </is>
      </c>
    </row>
    <row r="139">
      <c r="H139" s="11" t="inlineStr">
        <is>
          <t>Stream</t>
        </is>
      </c>
      <c r="I139" s="11" t="inlineStr">
        <is>
          <t>Baseline</t>
        </is>
      </c>
      <c r="J139" s="11" t="inlineStr">
        <is>
          <t>Optimized</t>
        </is>
      </c>
    </row>
    <row r="140">
      <c r="H140" s="5" t="inlineStr">
        <is>
          <t>Evaporation</t>
        </is>
      </c>
      <c r="I140" s="13">
        <f>'Cooling Tower &amp; Corrugated Fill'!$C$60</f>
        <v/>
      </c>
      <c r="J140" s="13">
        <f>'Cooling Tower &amp; Corrugated Fill'!$D$60</f>
        <v/>
      </c>
    </row>
    <row r="141">
      <c r="H141" s="5" t="inlineStr">
        <is>
          <t>Drift</t>
        </is>
      </c>
      <c r="I141" s="13">
        <f>'Cooling Tower &amp; Corrugated Fill'!$C$61</f>
        <v/>
      </c>
      <c r="J141" s="13">
        <f>'Cooling Tower &amp; Corrugated Fill'!$D$61</f>
        <v/>
      </c>
    </row>
    <row r="142">
      <c r="H142" s="5" t="inlineStr">
        <is>
          <t>Sewer</t>
        </is>
      </c>
      <c r="I142" s="13">
        <f>'Cooling Tower &amp; Corrugated Fill'!$C$89</f>
        <v/>
      </c>
      <c r="J142" s="13">
        <f>'Cooling Tower &amp; Corrugated Fill'!$D$89</f>
        <v/>
      </c>
    </row>
    <row r="143">
      <c r="H143" s="5" t="inlineStr">
        <is>
          <t>Intake</t>
        </is>
      </c>
      <c r="I143" s="13">
        <f>'Cooling Tower &amp; Corrugated Fill'!$C$86</f>
        <v/>
      </c>
      <c r="J143" s="13">
        <f>'Cooling Tower &amp; Corrugated Fill'!$D$86</f>
        <v/>
      </c>
    </row>
  </sheetData>
  <conditionalFormatting sqref="C121">
    <cfRule type="expression" priority="1" dxfId="0">
      <formula>ISNUMBER(SEARCH("❌",C121))</formula>
    </cfRule>
    <cfRule type="expression" priority="2" dxfId="1">
      <formula>ISNUMBER(SEARCH("✅",C121))</formula>
    </cfRule>
  </conditionalFormatting>
  <conditionalFormatting sqref="D121">
    <cfRule type="expression" priority="3" dxfId="0">
      <formula>ISNUMBER(SEARCH("❌",D121))</formula>
    </cfRule>
    <cfRule type="expression" priority="4" dxfId="1">
      <formula>ISNUMBER(SEARCH("✅",D121))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tabColor rgb="00548235"/>
    <outlinePr summaryBelow="1" summaryRight="1"/>
    <pageSetUpPr/>
  </sheetPr>
  <dimension ref="B1:Q5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2" customWidth="1" min="2" max="2"/>
    <col width="26" customWidth="1" min="3" max="3"/>
    <col width="28" customWidth="1" min="4" max="4"/>
    <col width="12" customWidth="1" min="5" max="5"/>
    <col width="14" customWidth="1" min="6" max="6"/>
    <col width="12" customWidth="1" min="7" max="7"/>
    <col width="13" customWidth="1" min="8" max="8"/>
    <col width="13" customWidth="1" min="9" max="9"/>
    <col width="12" customWidth="1" min="10" max="10"/>
    <col width="12" customWidth="1" min="11" max="11"/>
    <col width="11" customWidth="1" min="12" max="12"/>
    <col width="11" customWidth="1" min="13" max="13"/>
    <col width="14" customWidth="1" min="14" max="14"/>
    <col width="10" customWidth="1" min="15" max="15"/>
    <col width="10" customWidth="1" min="16" max="16"/>
    <col width="10" customWidth="1" min="17" max="17"/>
  </cols>
  <sheetData>
    <row r="1">
      <c r="B1" s="1" t="inlineStr">
        <is>
          <t>Pumping &amp; Induced-Draft Fan Hydraulics</t>
        </is>
      </c>
    </row>
    <row r="2">
      <c r="B2" s="2" t="inlineStr">
        <is>
          <t>WHP = Q·TDH/3960 · BHP = WHP/η_h · kW = BHP·0.7457/(η_m·η_e) · N = ROUNDUP(Q/Q_BEP) · POR 0.7–1.2 Q_BEP</t>
        </is>
      </c>
    </row>
    <row r="5">
      <c r="B5" s="3" t="inlineStr">
        <is>
          <t>1. Fan &amp; fill air-side inputs</t>
        </is>
      </c>
      <c r="C5" s="4" t="n"/>
      <c r="D5" s="4" t="n"/>
      <c r="E5" s="4" t="n"/>
      <c r="F5" s="4" t="n"/>
      <c r="G5" s="4" t="n"/>
    </row>
    <row r="6">
      <c r="B6" s="5" t="inlineStr">
        <is>
          <t>Tower water loading</t>
        </is>
      </c>
      <c r="C6" s="9" t="n">
        <v>6</v>
      </c>
      <c r="D6" s="7" t="inlineStr">
        <is>
          <t>gpm/ft²</t>
        </is>
      </c>
    </row>
    <row r="7">
      <c r="B7" s="5" t="inlineStr">
        <is>
          <t>Exhaust air specific volume</t>
        </is>
      </c>
      <c r="C7" s="21" t="n">
        <v>14</v>
      </c>
      <c r="D7" s="7" t="inlineStr">
        <is>
          <t>ft³/lb</t>
        </is>
      </c>
    </row>
    <row r="8">
      <c r="B8" s="5" t="inlineStr">
        <is>
          <t>Air density</t>
        </is>
      </c>
      <c r="C8" s="20" t="n">
        <v>1.15</v>
      </c>
      <c r="D8" s="7" t="inlineStr">
        <is>
          <t>kg/m³</t>
        </is>
      </c>
    </row>
    <row r="9">
      <c r="B9" s="5" t="inlineStr">
        <is>
          <t>Other static pressure (louvers, plenum, exit)</t>
        </is>
      </c>
      <c r="C9" s="9" t="n">
        <v>60</v>
      </c>
      <c r="D9" s="7" t="inlineStr">
        <is>
          <t>Pa</t>
        </is>
      </c>
    </row>
    <row r="10">
      <c r="B10" s="5" t="inlineStr">
        <is>
          <t>Fan efficiency</t>
        </is>
      </c>
      <c r="C10" s="10" t="n">
        <v>0.75</v>
      </c>
      <c r="D10" s="7" t="inlineStr">
        <is>
          <t>-</t>
        </is>
      </c>
    </row>
    <row r="11">
      <c r="B11" s="5" t="inlineStr">
        <is>
          <t>Fan motor efficiency</t>
        </is>
      </c>
      <c r="C11" s="10" t="n">
        <v>0.9399999999999999</v>
      </c>
      <c r="D11" s="7" t="inlineStr">
        <is>
          <t>-</t>
        </is>
      </c>
    </row>
    <row r="12">
      <c r="B12" s="5" t="inlineStr">
        <is>
          <t>Fill ΔP coefficient c</t>
        </is>
      </c>
      <c r="C12" s="20" t="n">
        <v>0.06</v>
      </c>
      <c r="D12" s="7" t="inlineStr">
        <is>
          <t>-</t>
        </is>
      </c>
      <c r="E12" s="8" t="inlineStr">
        <is>
          <t>Screening calibration</t>
        </is>
      </c>
    </row>
    <row r="13">
      <c r="B13" s="5" t="inlineStr">
        <is>
          <t>Fill ΔP flute-angle exponent</t>
        </is>
      </c>
      <c r="C13" s="21" t="n">
        <v>0.5</v>
      </c>
      <c r="D13" s="7" t="inlineStr">
        <is>
          <t>-</t>
        </is>
      </c>
    </row>
    <row r="15">
      <c r="B15" s="3" t="inlineStr">
        <is>
          <t>2. Induced-draft fan energy</t>
        </is>
      </c>
      <c r="C15" s="4" t="n"/>
      <c r="D15" s="4" t="n"/>
      <c r="E15" s="4" t="n"/>
      <c r="F15" s="4" t="n"/>
      <c r="G15" s="4" t="n"/>
    </row>
    <row r="16">
      <c r="B16" s="11" t="inlineStr">
        <is>
          <t>Parameter</t>
        </is>
      </c>
      <c r="C16" s="11" t="inlineStr">
        <is>
          <t>Current Baseline</t>
        </is>
      </c>
      <c r="D16" s="11" t="inlineStr">
        <is>
          <t>Corrugated Fill + High CoC</t>
        </is>
      </c>
      <c r="E16" s="11" t="inlineStr">
        <is>
          <t>Unit</t>
        </is>
      </c>
      <c r="F16" s="11" t="inlineStr">
        <is>
          <t>Formula</t>
        </is>
      </c>
    </row>
    <row r="17">
      <c r="B17" s="5" t="inlineStr">
        <is>
          <t>Tower plan area</t>
        </is>
      </c>
      <c r="C17" s="28">
        <f>'Cooling Tower &amp; Corrugated Fill'!$C$58/'Pumping &amp; Fan Hydraulics'!$C$6/10.7639</f>
        <v/>
      </c>
      <c r="D17" s="28">
        <f>'Cooling Tower &amp; Corrugated Fill'!$D$58/'Pumping &amp; Fan Hydraulics'!$C$6/10.7639</f>
        <v/>
      </c>
      <c r="E17" s="7" t="inlineStr">
        <is>
          <t>m²</t>
        </is>
      </c>
      <c r="F17" s="8" t="inlineStr">
        <is>
          <t>Q_recirc / loading</t>
        </is>
      </c>
    </row>
    <row r="18">
      <c r="B18" s="5" t="inlineStr">
        <is>
          <t>Air mass flow G = L/(L/G)</t>
        </is>
      </c>
      <c r="C18" s="13">
        <f>'Cooling Tower &amp; Corrugated Fill'!$C$58*8.34*60/'Cooling Tower &amp; Corrugated Fill'!$C$13</f>
        <v/>
      </c>
      <c r="D18" s="13">
        <f>'Cooling Tower &amp; Corrugated Fill'!$D$58*8.34*60/'Cooling Tower &amp; Corrugated Fill'!$C$13</f>
        <v/>
      </c>
      <c r="E18" s="7" t="inlineStr">
        <is>
          <t>lb/hr</t>
        </is>
      </c>
    </row>
    <row r="19">
      <c r="B19" s="5" t="inlineStr">
        <is>
          <t>Airflow</t>
        </is>
      </c>
      <c r="C19" s="13">
        <f>'Pumping &amp; Fan Hydraulics'!$C$18*'Pumping &amp; Fan Hydraulics'!$C$7/60</f>
        <v/>
      </c>
      <c r="D19" s="13">
        <f>'Pumping &amp; Fan Hydraulics'!$D$18*'Pumping &amp; Fan Hydraulics'!$C$7/60</f>
        <v/>
      </c>
      <c r="E19" s="7" t="inlineStr">
        <is>
          <t>cfm</t>
        </is>
      </c>
    </row>
    <row r="20">
      <c r="B20" s="5" t="inlineStr">
        <is>
          <t>Airflow</t>
        </is>
      </c>
      <c r="C20" s="28">
        <f>'Pumping &amp; Fan Hydraulics'!$C$19*0.0283168/60</f>
        <v/>
      </c>
      <c r="D20" s="28">
        <f>'Pumping &amp; Fan Hydraulics'!$D$19*0.0283168/60</f>
        <v/>
      </c>
      <c r="E20" s="7" t="inlineStr">
        <is>
          <t>m³/s</t>
        </is>
      </c>
    </row>
    <row r="21">
      <c r="B21" s="5" t="inlineStr">
        <is>
          <t>Fill face velocity</t>
        </is>
      </c>
      <c r="C21" s="12">
        <f>'Pumping &amp; Fan Hydraulics'!$C$20/'Pumping &amp; Fan Hydraulics'!$C$17</f>
        <v/>
      </c>
      <c r="D21" s="12">
        <f>'Pumping &amp; Fan Hydraulics'!$D$20/'Pumping &amp; Fan Hydraulics'!$D$17</f>
        <v/>
      </c>
      <c r="E21" s="7" t="inlineStr">
        <is>
          <t>m/s</t>
        </is>
      </c>
    </row>
    <row r="22">
      <c r="B22" s="5" t="inlineStr">
        <is>
          <t>Fill open area ε = 1 − SSA·t/2</t>
        </is>
      </c>
      <c r="C22" s="22">
        <f>1-'Cooling Tower &amp; Corrugated Fill'!$C$34*'Cooling Tower &amp; Corrugated Fill'!$C$36/1000/2</f>
        <v/>
      </c>
      <c r="D22" s="22">
        <f>1-'Cooling Tower &amp; Corrugated Fill'!$D$34*'Cooling Tower &amp; Corrugated Fill'!$D$36/1000/2</f>
        <v/>
      </c>
      <c r="E22" s="7" t="inlineStr">
        <is>
          <t>-</t>
        </is>
      </c>
    </row>
    <row r="23">
      <c r="B23" s="5" t="inlineStr">
        <is>
          <t>Fill ΔP = c·SSA·H·½ρv²·(θ/30)^b/ε²</t>
        </is>
      </c>
      <c r="C23" s="28">
        <f>'Pumping &amp; Fan Hydraulics'!$C$12*'Cooling Tower &amp; Corrugated Fill'!$C$34*'Cooling Tower &amp; Corrugated Fill'!$C$37*0.5*'Pumping &amp; Fan Hydraulics'!$C$8*'Pumping &amp; Fan Hydraulics'!$C$21^2*('Cooling Tower &amp; Corrugated Fill'!$C$35/30)^'Pumping &amp; Fan Hydraulics'!$C$13/'Pumping &amp; Fan Hydraulics'!$C$22^2</f>
        <v/>
      </c>
      <c r="D23" s="28">
        <f>'Pumping &amp; Fan Hydraulics'!$C$12*'Cooling Tower &amp; Corrugated Fill'!$D$34*'Cooling Tower &amp; Corrugated Fill'!$D$37*0.5*'Pumping &amp; Fan Hydraulics'!$C$8*'Pumping &amp; Fan Hydraulics'!$D$21^2*('Cooling Tower &amp; Corrugated Fill'!$D$35/30)^'Pumping &amp; Fan Hydraulics'!$C$13/'Pumping &amp; Fan Hydraulics'!$D$22^2</f>
        <v/>
      </c>
      <c r="E23" s="7" t="inlineStr">
        <is>
          <t>Pa</t>
        </is>
      </c>
    </row>
    <row r="24">
      <c r="B24" s="5" t="inlineStr">
        <is>
          <t>Total static pressure</t>
        </is>
      </c>
      <c r="C24" s="28">
        <f>'Pumping &amp; Fan Hydraulics'!$C$23+'Cooling Tower &amp; Corrugated Fill'!$C$39+'Pumping &amp; Fan Hydraulics'!$C$9</f>
        <v/>
      </c>
      <c r="D24" s="28">
        <f>'Pumping &amp; Fan Hydraulics'!$D$23+'Cooling Tower &amp; Corrugated Fill'!$D$39+'Pumping &amp; Fan Hydraulics'!$C$9</f>
        <v/>
      </c>
      <c r="E24" s="7" t="inlineStr">
        <is>
          <t>Pa</t>
        </is>
      </c>
    </row>
    <row r="25">
      <c r="B25" s="5" t="inlineStr">
        <is>
          <t>Total static pressure</t>
        </is>
      </c>
      <c r="C25" s="14">
        <f>'Pumping &amp; Fan Hydraulics'!$C$24/249.089</f>
        <v/>
      </c>
      <c r="D25" s="14">
        <f>'Pumping &amp; Fan Hydraulics'!$D$24/249.089</f>
        <v/>
      </c>
      <c r="E25" s="7" t="inlineStr">
        <is>
          <t>in. w.g.</t>
        </is>
      </c>
    </row>
    <row r="26">
      <c r="B26" s="5" t="inlineStr">
        <is>
          <t>IDF fan power = V·ΔP/(η_f·η_m)</t>
        </is>
      </c>
      <c r="C26" s="28">
        <f>'Pumping &amp; Fan Hydraulics'!$C$20*'Pumping &amp; Fan Hydraulics'!$C$24/('Pumping &amp; Fan Hydraulics'!$C$10*'Pumping &amp; Fan Hydraulics'!$C$11)/1000</f>
        <v/>
      </c>
      <c r="D26" s="28">
        <f>'Pumping &amp; Fan Hydraulics'!$D$20*'Pumping &amp; Fan Hydraulics'!$D$24/('Pumping &amp; Fan Hydraulics'!$C$10*'Pumping &amp; Fan Hydraulics'!$C$11)/1000</f>
        <v/>
      </c>
      <c r="E26" s="7" t="inlineStr">
        <is>
          <t>kW</t>
        </is>
      </c>
    </row>
    <row r="28">
      <c r="B28" s="3" t="inlineStr">
        <is>
          <t>3. Pump stations (both scenarios)</t>
        </is>
      </c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</row>
    <row r="29">
      <c r="B29" s="11" t="inlineStr">
        <is>
          <t>Pump station</t>
        </is>
      </c>
      <c r="C29" s="11" t="inlineStr">
        <is>
          <t>Scenario</t>
        </is>
      </c>
      <c r="D29" s="11" t="inlineStr">
        <is>
          <t>Flow Q (gpm)</t>
        </is>
      </c>
      <c r="E29" s="11" t="inlineStr">
        <is>
          <t>TDH (ft)</t>
        </is>
      </c>
      <c r="F29" s="11" t="inlineStr">
        <is>
          <t>Q_BEP (gpm)</t>
        </is>
      </c>
      <c r="G29" s="11" t="inlineStr">
        <is>
          <t>η hydraulic</t>
        </is>
      </c>
      <c r="H29" s="11" t="inlineStr">
        <is>
          <t>η mechanical</t>
        </is>
      </c>
      <c r="I29" s="11" t="inlineStr">
        <is>
          <t>η electrical</t>
        </is>
      </c>
      <c r="J29" s="11" t="inlineStr">
        <is>
          <t>N = ROUNDUP(Q/Q_BEP)</t>
        </is>
      </c>
      <c r="K29" s="11" t="inlineStr">
        <is>
          <t>Q per pump</t>
        </is>
      </c>
      <c r="L29" s="11" t="inlineStr">
        <is>
          <t>POR min</t>
        </is>
      </c>
      <c r="M29" s="11" t="inlineStr">
        <is>
          <t>POR max</t>
        </is>
      </c>
      <c r="N29" s="11" t="inlineStr">
        <is>
          <t>In POR?</t>
        </is>
      </c>
      <c r="O29" s="11" t="inlineStr">
        <is>
          <t>WHP</t>
        </is>
      </c>
      <c r="P29" s="11" t="inlineStr">
        <is>
          <t>BHP</t>
        </is>
      </c>
      <c r="Q29" s="11" t="inlineStr">
        <is>
          <t>kW</t>
        </is>
      </c>
    </row>
    <row r="30">
      <c r="B30" s="5" t="inlineStr">
        <is>
          <t>Chilled-Water Pumps</t>
        </is>
      </c>
      <c r="C30" s="5" t="inlineStr">
        <is>
          <t>Baseline</t>
        </is>
      </c>
      <c r="D30" s="13">
        <f>'Cooling Tower &amp; Corrugated Fill'!$C$45/(8.34*60*'Cooling Tower &amp; Corrugated Fill'!$C$7)</f>
        <v/>
      </c>
      <c r="E30" s="9" t="n">
        <v>120</v>
      </c>
      <c r="F30" s="26" t="n">
        <v>3000</v>
      </c>
      <c r="G30" s="10" t="n">
        <v>0.82</v>
      </c>
      <c r="H30" s="10" t="n">
        <v>0.98</v>
      </c>
      <c r="I30" s="10" t="n">
        <v>0.95</v>
      </c>
      <c r="J30" s="13">
        <f>MAX(1,ROUNDUP(D30/F30,0))</f>
        <v/>
      </c>
      <c r="K30" s="13">
        <f>D30/J30</f>
        <v/>
      </c>
      <c r="L30" s="13">
        <f>0.7*F30</f>
        <v/>
      </c>
      <c r="M30" s="13">
        <f>1.2*F30</f>
        <v/>
      </c>
      <c r="N30" s="17">
        <f>IF(AND(K30&gt;=L30,K30&lt;=M30),"✅ In POR","❌ Outside")</f>
        <v/>
      </c>
      <c r="O30" s="28">
        <f>D30*E30/3960</f>
        <v/>
      </c>
      <c r="P30" s="28">
        <f>O30/G30</f>
        <v/>
      </c>
      <c r="Q30" s="28">
        <f>P30*0.7457/(H30*I30)</f>
        <v/>
      </c>
    </row>
    <row r="31">
      <c r="B31" s="5" t="inlineStr">
        <is>
          <t>Chilled-Water Pumps</t>
        </is>
      </c>
      <c r="C31" s="5" t="inlineStr">
        <is>
          <t>Optimized</t>
        </is>
      </c>
      <c r="D31" s="13">
        <f>'Cooling Tower &amp; Corrugated Fill'!$D$45/(8.34*60*'Cooling Tower &amp; Corrugated Fill'!$C$7)</f>
        <v/>
      </c>
      <c r="E31" s="28">
        <f>'Pumping &amp; Fan Hydraulics'!$E$30</f>
        <v/>
      </c>
      <c r="F31" s="13">
        <f>'Pumping &amp; Fan Hydraulics'!$F$30</f>
        <v/>
      </c>
      <c r="G31" s="18">
        <f>'Pumping &amp; Fan Hydraulics'!$G$30</f>
        <v/>
      </c>
      <c r="H31" s="18">
        <f>'Pumping &amp; Fan Hydraulics'!$H$30</f>
        <v/>
      </c>
      <c r="I31" s="18">
        <f>'Pumping &amp; Fan Hydraulics'!$I$30</f>
        <v/>
      </c>
      <c r="J31" s="13">
        <f>MAX(1,ROUNDUP(D31/F31,0))</f>
        <v/>
      </c>
      <c r="K31" s="13">
        <f>D31/J31</f>
        <v/>
      </c>
      <c r="L31" s="13">
        <f>0.7*F31</f>
        <v/>
      </c>
      <c r="M31" s="13">
        <f>1.2*F31</f>
        <v/>
      </c>
      <c r="N31" s="17">
        <f>IF(AND(K31&gt;=L31,K31&lt;=M31),"✅ In POR","❌ Outside")</f>
        <v/>
      </c>
      <c r="O31" s="28">
        <f>D31*E31/3960</f>
        <v/>
      </c>
      <c r="P31" s="28">
        <f>O31/G31</f>
        <v/>
      </c>
      <c r="Q31" s="28">
        <f>P31*0.7457/(H31*I31)</f>
        <v/>
      </c>
    </row>
    <row r="32">
      <c r="B32" s="5" t="inlineStr">
        <is>
          <t>Condenser-Water Pumps</t>
        </is>
      </c>
      <c r="C32" s="5" t="inlineStr">
        <is>
          <t>Baseline</t>
        </is>
      </c>
      <c r="D32" s="13">
        <f>'Cooling Tower &amp; Corrugated Fill'!$C$58</f>
        <v/>
      </c>
      <c r="E32" s="9" t="n">
        <v>80</v>
      </c>
      <c r="F32" s="26" t="n">
        <v>4000</v>
      </c>
      <c r="G32" s="10" t="n">
        <v>0.84</v>
      </c>
      <c r="H32" s="10" t="n">
        <v>0.98</v>
      </c>
      <c r="I32" s="10" t="n">
        <v>0.95</v>
      </c>
      <c r="J32" s="13">
        <f>MAX(1,ROUNDUP(D32/F32,0))</f>
        <v/>
      </c>
      <c r="K32" s="13">
        <f>D32/J32</f>
        <v/>
      </c>
      <c r="L32" s="13">
        <f>0.7*F32</f>
        <v/>
      </c>
      <c r="M32" s="13">
        <f>1.2*F32</f>
        <v/>
      </c>
      <c r="N32" s="17">
        <f>IF(AND(K32&gt;=L32,K32&lt;=M32),"✅ In POR","❌ Outside")</f>
        <v/>
      </c>
      <c r="O32" s="28">
        <f>D32*E32/3960</f>
        <v/>
      </c>
      <c r="P32" s="28">
        <f>O32/G32</f>
        <v/>
      </c>
      <c r="Q32" s="28">
        <f>P32*0.7457/(H32*I32)</f>
        <v/>
      </c>
    </row>
    <row r="33">
      <c r="B33" s="5" t="inlineStr">
        <is>
          <t>Condenser-Water Pumps</t>
        </is>
      </c>
      <c r="C33" s="5" t="inlineStr">
        <is>
          <t>Optimized</t>
        </is>
      </c>
      <c r="D33" s="13">
        <f>'Cooling Tower &amp; Corrugated Fill'!$D$58</f>
        <v/>
      </c>
      <c r="E33" s="28">
        <f>'Pumping &amp; Fan Hydraulics'!$E$32</f>
        <v/>
      </c>
      <c r="F33" s="13">
        <f>'Pumping &amp; Fan Hydraulics'!$F$32</f>
        <v/>
      </c>
      <c r="G33" s="18">
        <f>'Pumping &amp; Fan Hydraulics'!$G$32</f>
        <v/>
      </c>
      <c r="H33" s="18">
        <f>'Pumping &amp; Fan Hydraulics'!$H$32</f>
        <v/>
      </c>
      <c r="I33" s="18">
        <f>'Pumping &amp; Fan Hydraulics'!$I$32</f>
        <v/>
      </c>
      <c r="J33" s="13">
        <f>MAX(1,ROUNDUP(D33/F33,0))</f>
        <v/>
      </c>
      <c r="K33" s="13">
        <f>D33/J33</f>
        <v/>
      </c>
      <c r="L33" s="13">
        <f>0.7*F33</f>
        <v/>
      </c>
      <c r="M33" s="13">
        <f>1.2*F33</f>
        <v/>
      </c>
      <c r="N33" s="17">
        <f>IF(AND(K33&gt;=L33,K33&lt;=M33),"✅ In POR","❌ Outside")</f>
        <v/>
      </c>
      <c r="O33" s="28">
        <f>D33*E33/3960</f>
        <v/>
      </c>
      <c r="P33" s="28">
        <f>O33/G33</f>
        <v/>
      </c>
      <c r="Q33" s="28">
        <f>P33*0.7457/(H33*I33)</f>
        <v/>
      </c>
    </row>
    <row r="34">
      <c r="B34" s="5" t="inlineStr">
        <is>
          <t>Raw/Makeup Water Pumps</t>
        </is>
      </c>
      <c r="C34" s="5" t="inlineStr">
        <is>
          <t>Baseline</t>
        </is>
      </c>
      <c r="D34" s="13">
        <f>'Cooling Tower &amp; Corrugated Fill'!$C$86/1440</f>
        <v/>
      </c>
      <c r="E34" s="9" t="n">
        <v>150</v>
      </c>
      <c r="F34" s="26" t="n">
        <v>300</v>
      </c>
      <c r="G34" s="10" t="n">
        <v>0.7</v>
      </c>
      <c r="H34" s="10" t="n">
        <v>0.98</v>
      </c>
      <c r="I34" s="10" t="n">
        <v>0.92</v>
      </c>
      <c r="J34" s="13">
        <f>MAX(1,ROUNDUP(D34/F34,0))</f>
        <v/>
      </c>
      <c r="K34" s="13">
        <f>D34/J34</f>
        <v/>
      </c>
      <c r="L34" s="13">
        <f>0.7*F34</f>
        <v/>
      </c>
      <c r="M34" s="13">
        <f>1.2*F34</f>
        <v/>
      </c>
      <c r="N34" s="17">
        <f>IF(AND(K34&gt;=L34,K34&lt;=M34),"✅ In POR","❌ Outside")</f>
        <v/>
      </c>
      <c r="O34" s="28">
        <f>D34*E34/3960</f>
        <v/>
      </c>
      <c r="P34" s="28">
        <f>O34/G34</f>
        <v/>
      </c>
      <c r="Q34" s="28">
        <f>P34*0.7457/(H34*I34)</f>
        <v/>
      </c>
    </row>
    <row r="35">
      <c r="B35" s="5" t="inlineStr">
        <is>
          <t>Raw/Makeup Water Pumps</t>
        </is>
      </c>
      <c r="C35" s="5" t="inlineStr">
        <is>
          <t>Optimized</t>
        </is>
      </c>
      <c r="D35" s="13">
        <f>'Cooling Tower &amp; Corrugated Fill'!$D$86/1440</f>
        <v/>
      </c>
      <c r="E35" s="28">
        <f>'Pumping &amp; Fan Hydraulics'!$E$34</f>
        <v/>
      </c>
      <c r="F35" s="13">
        <f>'Pumping &amp; Fan Hydraulics'!$F$34</f>
        <v/>
      </c>
      <c r="G35" s="18">
        <f>'Pumping &amp; Fan Hydraulics'!$G$34</f>
        <v/>
      </c>
      <c r="H35" s="18">
        <f>'Pumping &amp; Fan Hydraulics'!$H$34</f>
        <v/>
      </c>
      <c r="I35" s="18">
        <f>'Pumping &amp; Fan Hydraulics'!$I$34</f>
        <v/>
      </c>
      <c r="J35" s="13">
        <f>MAX(1,ROUNDUP(D35/F35,0))</f>
        <v/>
      </c>
      <c r="K35" s="13">
        <f>D35/J35</f>
        <v/>
      </c>
      <c r="L35" s="13">
        <f>0.7*F35</f>
        <v/>
      </c>
      <c r="M35" s="13">
        <f>1.2*F35</f>
        <v/>
      </c>
      <c r="N35" s="17">
        <f>IF(AND(K35&gt;=L35,K35&lt;=M35),"✅ In POR","❌ Outside")</f>
        <v/>
      </c>
      <c r="O35" s="28">
        <f>D35*E35/3960</f>
        <v/>
      </c>
      <c r="P35" s="28">
        <f>O35/G35</f>
        <v/>
      </c>
      <c r="Q35" s="28">
        <f>P35*0.7457/(H35*I35)</f>
        <v/>
      </c>
    </row>
    <row r="38">
      <c r="B38" s="3" t="inlineStr">
        <is>
          <t>4. Plant power summary</t>
        </is>
      </c>
      <c r="C38" s="4" t="n"/>
      <c r="D38" s="4" t="n"/>
      <c r="E38" s="4" t="n"/>
      <c r="F38" s="4" t="n"/>
      <c r="G38" s="4" t="n"/>
    </row>
    <row r="39">
      <c r="B39" s="11" t="inlineStr">
        <is>
          <t>Component</t>
        </is>
      </c>
      <c r="C39" s="11" t="inlineStr">
        <is>
          <t>Current Baseline</t>
        </is>
      </c>
      <c r="D39" s="11" t="inlineStr">
        <is>
          <t>Corrugated Fill + High CoC</t>
        </is>
      </c>
      <c r="E39" s="11" t="inlineStr">
        <is>
          <t>Unit</t>
        </is>
      </c>
      <c r="F39" s="11" t="inlineStr"/>
    </row>
    <row r="40">
      <c r="B40" s="5" t="inlineStr">
        <is>
          <t>Chiller compressors</t>
        </is>
      </c>
      <c r="C40" s="13">
        <f>'Cooling Tower &amp; Corrugated Fill'!$C$55</f>
        <v/>
      </c>
      <c r="D40" s="13">
        <f>'Cooling Tower &amp; Corrugated Fill'!$D$55</f>
        <v/>
      </c>
      <c r="E40" s="7" t="inlineStr">
        <is>
          <t>kW</t>
        </is>
      </c>
    </row>
    <row r="41">
      <c r="B41" s="5" t="inlineStr">
        <is>
          <t>Tower fans</t>
        </is>
      </c>
      <c r="C41" s="13">
        <f>'Pumping &amp; Fan Hydraulics'!$C$26</f>
        <v/>
      </c>
      <c r="D41" s="13">
        <f>'Pumping &amp; Fan Hydraulics'!$D$26</f>
        <v/>
      </c>
      <c r="E41" s="7" t="inlineStr">
        <is>
          <t>kW</t>
        </is>
      </c>
    </row>
    <row r="42">
      <c r="B42" s="5" t="inlineStr">
        <is>
          <t>Chilled-water pumps</t>
        </is>
      </c>
      <c r="C42" s="13">
        <f>'Pumping &amp; Fan Hydraulics'!$Q$30</f>
        <v/>
      </c>
      <c r="D42" s="13">
        <f>'Pumping &amp; Fan Hydraulics'!$Q$31</f>
        <v/>
      </c>
      <c r="E42" s="7" t="inlineStr">
        <is>
          <t>kW</t>
        </is>
      </c>
    </row>
    <row r="43">
      <c r="B43" s="5" t="inlineStr">
        <is>
          <t>Condenser-water pumps</t>
        </is>
      </c>
      <c r="C43" s="13">
        <f>'Pumping &amp; Fan Hydraulics'!$Q$32</f>
        <v/>
      </c>
      <c r="D43" s="13">
        <f>'Pumping &amp; Fan Hydraulics'!$Q$33</f>
        <v/>
      </c>
      <c r="E43" s="7" t="inlineStr">
        <is>
          <t>kW</t>
        </is>
      </c>
    </row>
    <row r="44">
      <c r="B44" s="5" t="inlineStr">
        <is>
          <t>Raw/makeup water pumps</t>
        </is>
      </c>
      <c r="C44" s="28">
        <f>'Pumping &amp; Fan Hydraulics'!$Q$34</f>
        <v/>
      </c>
      <c r="D44" s="28">
        <f>'Pumping &amp; Fan Hydraulics'!$Q$35</f>
        <v/>
      </c>
      <c r="E44" s="7" t="inlineStr">
        <is>
          <t>kW</t>
        </is>
      </c>
    </row>
    <row r="45">
      <c r="B45" s="5" t="inlineStr">
        <is>
          <t>BD-RO energy</t>
        </is>
      </c>
      <c r="C45" s="13">
        <f>IF('Cooling Tower &amp; Corrugated Fill'!$C$42=1,(0.3+0.1*'Cooling Tower &amp; Corrugated Fill'!$F$96/1000)*1000*0.00378541*'Cooling Tower &amp; Corrugated Fill'!$C$80/1000,0)</f>
        <v/>
      </c>
      <c r="D45" s="13">
        <f>IF('Cooling Tower &amp; Corrugated Fill'!$D$42=1,(0.3+0.1*'Cooling Tower &amp; Corrugated Fill'!$K$96/1000)*1000*0.00378541*'Cooling Tower &amp; Corrugated Fill'!$D$80/1000,0)</f>
        <v/>
      </c>
      <c r="E45" s="7" t="inlineStr">
        <is>
          <t>kWh/d</t>
        </is>
      </c>
    </row>
    <row r="46">
      <c r="B46" s="5" t="inlineStr">
        <is>
          <t>Water treatment (train + BD-RO)</t>
        </is>
      </c>
      <c r="C46" s="28">
        <f>('Process Flow Mass Balance'!$C$15*'Cooling Tower &amp; Corrugated Fill'!$C$86+'Pumping &amp; Fan Hydraulics'!$C$45)/24</f>
        <v/>
      </c>
      <c r="D46" s="28">
        <f>('Process Flow Mass Balance'!$C$15*'Cooling Tower &amp; Corrugated Fill'!$D$86+'Pumping &amp; Fan Hydraulics'!$D$45)/24</f>
        <v/>
      </c>
      <c r="E46" s="7" t="inlineStr">
        <is>
          <t>kW</t>
        </is>
      </c>
    </row>
    <row r="47">
      <c r="B47" s="5" t="inlineStr">
        <is>
          <t>Total cooling + water plant</t>
        </is>
      </c>
      <c r="C47" s="13">
        <f>'Pumping &amp; Fan Hydraulics'!$C$40+'Pumping &amp; Fan Hydraulics'!$C$41+'Pumping &amp; Fan Hydraulics'!$C$42+'Pumping &amp; Fan Hydraulics'!$C$43+'Pumping &amp; Fan Hydraulics'!$C$44+'Pumping &amp; Fan Hydraulics'!$C$46</f>
        <v/>
      </c>
      <c r="D47" s="13">
        <f>'Pumping &amp; Fan Hydraulics'!$D$40+'Pumping &amp; Fan Hydraulics'!$D$41+'Pumping &amp; Fan Hydraulics'!$D$42+'Pumping &amp; Fan Hydraulics'!$D$43+'Pumping &amp; Fan Hydraulics'!$D$44+'Pumping &amp; Fan Hydraulics'!$D$46</f>
        <v/>
      </c>
      <c r="E47" s="7" t="inlineStr">
        <is>
          <t>kW</t>
        </is>
      </c>
    </row>
    <row r="48">
      <c r="B48" s="5" t="inlineStr">
        <is>
          <t>Cooling share of PUE</t>
        </is>
      </c>
      <c r="C48" s="14">
        <f>'Pumping &amp; Fan Hydraulics'!$C$47/('Dashboard'!$C$8*1000)</f>
        <v/>
      </c>
      <c r="D48" s="14">
        <f>'Pumping &amp; Fan Hydraulics'!$D$47/('Dashboard'!$C$8*1000)</f>
        <v/>
      </c>
      <c r="E48" s="7" t="inlineStr">
        <is>
          <t>-</t>
        </is>
      </c>
    </row>
    <row r="49">
      <c r="B49" s="5" t="inlineStr">
        <is>
          <t>PUE</t>
        </is>
      </c>
      <c r="C49" s="14">
        <f>1+'Pumping &amp; Fan Hydraulics'!$C$48+'Cooling Tower &amp; Corrugated Fill'!$C$11</f>
        <v/>
      </c>
      <c r="D49" s="14">
        <f>1+'Pumping &amp; Fan Hydraulics'!$D$48+'Cooling Tower &amp; Corrugated Fill'!$C$11</f>
        <v/>
      </c>
      <c r="E49" s="7" t="inlineStr">
        <is>
          <t>-</t>
        </is>
      </c>
    </row>
    <row r="50">
      <c r="B50" s="5" t="inlineStr">
        <is>
          <t>Water-system energy intensity</t>
        </is>
      </c>
      <c r="C50" s="14">
        <f>('Pumping &amp; Fan Hydraulics'!$C$44+'Pumping &amp; Fan Hydraulics'!$C$46)*24/('Cooling Tower &amp; Corrugated Fill'!$C$86*0.00378541)</f>
        <v/>
      </c>
      <c r="D50" s="14">
        <f>('Pumping &amp; Fan Hydraulics'!$D$44+'Pumping &amp; Fan Hydraulics'!$D$46)*24/('Cooling Tower &amp; Corrugated Fill'!$D$86*0.00378541)</f>
        <v/>
      </c>
      <c r="E50" s="7" t="inlineStr">
        <is>
          <t>kWh/m³</t>
        </is>
      </c>
    </row>
    <row r="51">
      <c r="B51" s="5" t="inlineStr">
        <is>
          <t>All pumps in POR (1/0)</t>
        </is>
      </c>
      <c r="C51" s="13">
        <f>IF(AND(N30="✅ In POR",N32="✅ In POR",N34="✅ In POR"),1,0)</f>
        <v/>
      </c>
      <c r="D51" s="13">
        <f>IF(AND(N31="✅ In POR",N33="✅ In POR",N35="✅ In POR"),1,0)</f>
        <v/>
      </c>
    </row>
  </sheetData>
  <conditionalFormatting sqref="N30">
    <cfRule type="expression" priority="1" dxfId="0">
      <formula>ISNUMBER(SEARCH("❌",N30))</formula>
    </cfRule>
    <cfRule type="expression" priority="2" dxfId="1">
      <formula>ISNUMBER(SEARCH("✅",N30))</formula>
    </cfRule>
  </conditionalFormatting>
  <conditionalFormatting sqref="N31">
    <cfRule type="expression" priority="3" dxfId="0">
      <formula>ISNUMBER(SEARCH("❌",N31))</formula>
    </cfRule>
    <cfRule type="expression" priority="4" dxfId="1">
      <formula>ISNUMBER(SEARCH("✅",N31))</formula>
    </cfRule>
  </conditionalFormatting>
  <conditionalFormatting sqref="N32">
    <cfRule type="expression" priority="5" dxfId="0">
      <formula>ISNUMBER(SEARCH("❌",N32))</formula>
    </cfRule>
    <cfRule type="expression" priority="6" dxfId="1">
      <formula>ISNUMBER(SEARCH("✅",N32))</formula>
    </cfRule>
  </conditionalFormatting>
  <conditionalFormatting sqref="N33">
    <cfRule type="expression" priority="7" dxfId="0">
      <formula>ISNUMBER(SEARCH("❌",N33))</formula>
    </cfRule>
    <cfRule type="expression" priority="8" dxfId="1">
      <formula>ISNUMBER(SEARCH("✅",N33))</formula>
    </cfRule>
  </conditionalFormatting>
  <conditionalFormatting sqref="N34">
    <cfRule type="expression" priority="9" dxfId="0">
      <formula>ISNUMBER(SEARCH("❌",N34))</formula>
    </cfRule>
    <cfRule type="expression" priority="10" dxfId="1">
      <formula>ISNUMBER(SEARCH("✅",N34))</formula>
    </cfRule>
  </conditionalFormatting>
  <conditionalFormatting sqref="N35">
    <cfRule type="expression" priority="11" dxfId="0">
      <formula>ISNUMBER(SEARCH("❌",N35))</formula>
    </cfRule>
    <cfRule type="expression" priority="12" dxfId="1">
      <formula>ISNUMBER(SEARCH("✅",N35))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tabColor rgb="00548235"/>
    <outlinePr summaryBelow="1" summaryRight="1"/>
    <pageSetUpPr/>
  </sheetPr>
  <dimension ref="B1:Q71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46" customWidth="1" min="2" max="2"/>
    <col width="26" customWidth="1" min="3" max="3"/>
    <col width="28" customWidth="1" min="4" max="4"/>
    <col width="12" customWidth="1" min="5" max="5"/>
    <col width="30" customWidth="1" min="6" max="6"/>
    <col width="11" customWidth="1" min="7" max="7"/>
    <col width="13" customWidth="1" min="8" max="8"/>
    <col width="15" customWidth="1" min="9" max="9"/>
    <col width="13" customWidth="1" min="10" max="10"/>
    <col width="12" customWidth="1" min="11" max="11"/>
    <col width="11" customWidth="1" min="12" max="12"/>
    <col width="12" customWidth="1" min="13" max="13"/>
    <col width="9" customWidth="1" min="14" max="14"/>
    <col width="11" customWidth="1" min="15" max="15"/>
    <col width="12" customWidth="1" min="16" max="16"/>
    <col width="9" customWidth="1" min="17" max="17"/>
  </cols>
  <sheetData>
    <row r="1">
      <c r="B1" s="1" t="inlineStr">
        <is>
          <t>Disinfection CT &amp; Quantitative Microbial Risk Assessment</t>
        </is>
      </c>
    </row>
    <row r="2">
      <c r="B2" s="2" t="inlineStr">
        <is>
          <t>CT = C·T10 · T10 = TDT·BF · LRT = LOG(C_in/C_target) · Pd = 1 − (1 + d/β)^−α · Py = 1 − (1 − Pd)^n</t>
        </is>
      </c>
    </row>
    <row r="5">
      <c r="B5" s="3" t="inlineStr">
        <is>
          <t>1. Chlorine contact inputs</t>
        </is>
      </c>
      <c r="C5" s="4" t="n"/>
      <c r="D5" s="4" t="n"/>
      <c r="E5" s="4" t="n"/>
      <c r="F5" s="4" t="n"/>
      <c r="G5" s="4" t="n"/>
    </row>
    <row r="6">
      <c r="B6" s="5" t="inlineStr">
        <is>
          <t>Contact tank operating volume</t>
        </is>
      </c>
      <c r="C6" s="26" t="n">
        <v>100000</v>
      </c>
      <c r="D6" s="7" t="inlineStr">
        <is>
          <t>gal</t>
        </is>
      </c>
    </row>
    <row r="7">
      <c r="B7" s="5" t="inlineStr">
        <is>
          <t>Peak flow factor</t>
        </is>
      </c>
      <c r="C7" s="21" t="n">
        <v>1.5</v>
      </c>
      <c r="D7" s="7" t="inlineStr">
        <is>
          <t>-</t>
        </is>
      </c>
    </row>
    <row r="8">
      <c r="B8" s="5" t="inlineStr">
        <is>
          <t>Baffling factor BF (0.1 unbaffled – 0.9 plug flow)</t>
        </is>
      </c>
      <c r="C8" s="21" t="n">
        <v>0.3</v>
      </c>
      <c r="D8" s="7" t="inlineStr">
        <is>
          <t>-</t>
        </is>
      </c>
    </row>
    <row r="9">
      <c r="B9" s="5" t="inlineStr">
        <is>
          <t>Water temperature</t>
        </is>
      </c>
      <c r="C9" s="9" t="n">
        <v>20</v>
      </c>
      <c r="D9" s="7" t="inlineStr">
        <is>
          <t>°C</t>
        </is>
      </c>
    </row>
    <row r="10">
      <c r="B10" s="5" t="inlineStr">
        <is>
          <t>Free chlorine residual (Mass Balance outlet)</t>
        </is>
      </c>
      <c r="C10" s="14">
        <f>'Process Flow Mass Balance'!$AH$55</f>
        <v/>
      </c>
      <c r="D10" s="7" t="inlineStr">
        <is>
          <t>mg/L</t>
        </is>
      </c>
    </row>
    <row r="12">
      <c r="B12" s="3" t="inlineStr">
        <is>
          <t>2. CT required lookup (free chlorine, SWTR Guidance Manual)</t>
        </is>
      </c>
      <c r="C12" s="4" t="n"/>
      <c r="D12" s="4" t="n"/>
      <c r="E12" s="4" t="n"/>
      <c r="F12" s="4" t="n"/>
      <c r="G12" s="4" t="n"/>
    </row>
    <row r="13">
      <c r="B13" s="11" t="inlineStr">
        <is>
          <t>Temp (°C)</t>
        </is>
      </c>
      <c r="C13" s="11" t="inlineStr">
        <is>
          <t>CT 4-log virus</t>
        </is>
      </c>
      <c r="D13" s="11" t="inlineStr"/>
      <c r="E13" s="11" t="inlineStr">
        <is>
          <t>Temp (°C)</t>
        </is>
      </c>
      <c r="F13" s="11" t="inlineStr">
        <is>
          <t>CT 3-log Giardia (pH 7)</t>
        </is>
      </c>
    </row>
    <row r="14">
      <c r="B14" s="9" t="n">
        <v>0.5</v>
      </c>
      <c r="C14" s="9" t="n">
        <v>12</v>
      </c>
      <c r="E14" s="9" t="n">
        <v>5</v>
      </c>
      <c r="F14" s="9" t="n">
        <v>149</v>
      </c>
    </row>
    <row r="15">
      <c r="B15" s="9" t="n">
        <v>5</v>
      </c>
      <c r="C15" s="9" t="n">
        <v>8</v>
      </c>
      <c r="E15" s="9" t="n">
        <v>10</v>
      </c>
      <c r="F15" s="9" t="n">
        <v>112</v>
      </c>
    </row>
    <row r="16">
      <c r="B16" s="9" t="n">
        <v>10</v>
      </c>
      <c r="C16" s="9" t="n">
        <v>6</v>
      </c>
      <c r="E16" s="9" t="n">
        <v>15</v>
      </c>
      <c r="F16" s="9" t="n">
        <v>75</v>
      </c>
    </row>
    <row r="17">
      <c r="B17" s="9" t="n">
        <v>15</v>
      </c>
      <c r="C17" s="9" t="n">
        <v>4</v>
      </c>
      <c r="E17" s="9" t="n">
        <v>20</v>
      </c>
      <c r="F17" s="9" t="n">
        <v>56</v>
      </c>
    </row>
    <row r="18">
      <c r="B18" s="9" t="n">
        <v>20</v>
      </c>
      <c r="C18" s="9" t="n">
        <v>3</v>
      </c>
      <c r="E18" s="9" t="n">
        <v>25</v>
      </c>
      <c r="F18" s="9" t="n">
        <v>37</v>
      </c>
    </row>
    <row r="19">
      <c r="B19" s="9" t="n">
        <v>25</v>
      </c>
      <c r="C19" s="9" t="n">
        <v>2</v>
      </c>
    </row>
    <row r="22">
      <c r="B22" s="3" t="inlineStr">
        <is>
          <t>3. CT verification</t>
        </is>
      </c>
      <c r="C22" s="4" t="n"/>
      <c r="D22" s="4" t="n"/>
      <c r="E22" s="4" t="n"/>
      <c r="F22" s="4" t="n"/>
      <c r="G22" s="4" t="n"/>
    </row>
    <row r="23">
      <c r="B23" s="11" t="inlineStr">
        <is>
          <t>Parameter</t>
        </is>
      </c>
      <c r="C23" s="11" t="inlineStr">
        <is>
          <t>Current Baseline</t>
        </is>
      </c>
      <c r="D23" s="11" t="inlineStr">
        <is>
          <t>Corrugated Fill + High CoC</t>
        </is>
      </c>
      <c r="E23" s="11" t="inlineStr">
        <is>
          <t>Unit</t>
        </is>
      </c>
      <c r="F23" s="11" t="inlineStr">
        <is>
          <t>Formula</t>
        </is>
      </c>
    </row>
    <row r="24">
      <c r="B24" s="5" t="inlineStr">
        <is>
          <t>Contact flow (train)</t>
        </is>
      </c>
      <c r="C24" s="13">
        <f>'Cooling Tower &amp; Corrugated Fill'!$C$86*'Process Flow Mass Balance'!$K$12</f>
        <v/>
      </c>
      <c r="D24" s="13">
        <f>'Cooling Tower &amp; Corrugated Fill'!$D$86*'Process Flow Mass Balance'!$K$12</f>
        <v/>
      </c>
      <c r="E24" s="7" t="inlineStr">
        <is>
          <t>gpd</t>
        </is>
      </c>
    </row>
    <row r="25">
      <c r="B25" s="5" t="inlineStr">
        <is>
          <t>Peak flow Q_peak</t>
        </is>
      </c>
      <c r="C25" s="13">
        <f>'Disinfection &amp; Microbial Risk'!$C$24/1440*'Disinfection &amp; Microbial Risk'!$C$7</f>
        <v/>
      </c>
      <c r="D25" s="13">
        <f>'Disinfection &amp; Microbial Risk'!$D$24/1440*'Disinfection &amp; Microbial Risk'!$C$7</f>
        <v/>
      </c>
      <c r="E25" s="7" t="inlineStr">
        <is>
          <t>gpm</t>
        </is>
      </c>
    </row>
    <row r="26">
      <c r="B26" s="5" t="inlineStr">
        <is>
          <t>Total detention time TDT = V/Q_peak</t>
        </is>
      </c>
      <c r="C26" s="12">
        <f>'Disinfection &amp; Microbial Risk'!$C$6/'Disinfection &amp; Microbial Risk'!$C$25</f>
        <v/>
      </c>
      <c r="D26" s="12">
        <f>'Disinfection &amp; Microbial Risk'!$C$6/'Disinfection &amp; Microbial Risk'!$D$25</f>
        <v/>
      </c>
      <c r="E26" s="7" t="inlineStr">
        <is>
          <t>min</t>
        </is>
      </c>
    </row>
    <row r="27">
      <c r="B27" s="5" t="inlineStr">
        <is>
          <t>T10 = TDT × BF</t>
        </is>
      </c>
      <c r="C27" s="12">
        <f>'Disinfection &amp; Microbial Risk'!$C$26*'Disinfection &amp; Microbial Risk'!$C$8</f>
        <v/>
      </c>
      <c r="D27" s="12">
        <f>'Disinfection &amp; Microbial Risk'!$D$26*'Disinfection &amp; Microbial Risk'!$C$8</f>
        <v/>
      </c>
      <c r="E27" s="7" t="inlineStr">
        <is>
          <t>min</t>
        </is>
      </c>
    </row>
    <row r="28">
      <c r="B28" s="5" t="inlineStr">
        <is>
          <t>CT = C × T10</t>
        </is>
      </c>
      <c r="C28" s="12">
        <f>'Disinfection &amp; Microbial Risk'!$C$10*'Disinfection &amp; Microbial Risk'!$C$27</f>
        <v/>
      </c>
      <c r="D28" s="12">
        <f>'Disinfection &amp; Microbial Risk'!$C$10*'Disinfection &amp; Microbial Risk'!$D$27</f>
        <v/>
      </c>
      <c r="E28" s="7" t="inlineStr">
        <is>
          <t>mg·min/L</t>
        </is>
      </c>
    </row>
    <row r="29">
      <c r="B29" s="5" t="inlineStr">
        <is>
          <t>CT required 4-log virus</t>
        </is>
      </c>
      <c r="C29" s="12">
        <f>(INDEX('Disinfection &amp; Microbial Risk'!$C$14:$C$19,MATCH(MAX(MIN('Disinfection &amp; Microbial Risk'!$C$9,INDEX('Disinfection &amp; Microbial Risk'!$B$14:$B$19,6)),INDEX('Disinfection &amp; Microbial Risk'!$B$14:$B$19,1)),'Disinfection &amp; Microbial Risk'!$B$14:$B$19,1))+(INDEX('Disinfection &amp; Microbial Risk'!$C$14:$C$19,MIN(MATCH(MAX(MIN('Disinfection &amp; Microbial Risk'!$C$9,INDEX('Disinfection &amp; Microbial Risk'!$B$14:$B$19,6)),INDEX('Disinfection &amp; Microbial Risk'!$B$14:$B$19,1)),'Disinfection &amp; Microbial Risk'!$B$14:$B$19,1)+1,6))-INDEX('Disinfection &amp; Microbial Risk'!$C$14:$C$19,MATCH(MAX(MIN('Disinfection &amp; Microbial Risk'!$C$9,INDEX('Disinfection &amp; Microbial Risk'!$B$14:$B$19,6)),INDEX('Disinfection &amp; Microbial Risk'!$B$14:$B$19,1)),'Disinfection &amp; Microbial Risk'!$B$14:$B$19,1)))*(MAX(MIN('Disinfection &amp; Microbial Risk'!$C$9,INDEX('Disinfection &amp; Microbial Risk'!$B$14:$B$19,6)),INDEX('Disinfection &amp; Microbial Risk'!$B$14:$B$19,1))-INDEX('Disinfection &amp; Microbial Risk'!$B$14:$B$19,MATCH(MAX(MIN('Disinfection &amp; Microbial Risk'!$C$9,INDEX('Disinfection &amp; Microbial Risk'!$B$14:$B$19,6)),INDEX('Disinfection &amp; Microbial Risk'!$B$14:$B$19,1)),'Disinfection &amp; Microbial Risk'!$B$14:$B$19,1)))/MAX(INDEX('Disinfection &amp; Microbial Risk'!$B$14:$B$19,MIN(MATCH(MAX(MIN('Disinfection &amp; Microbial Risk'!$C$9,INDEX('Disinfection &amp; Microbial Risk'!$B$14:$B$19,6)),INDEX('Disinfection &amp; Microbial Risk'!$B$14:$B$19,1)),'Disinfection &amp; Microbial Risk'!$B$14:$B$19,1)+1,6))-INDEX('Disinfection &amp; Microbial Risk'!$B$14:$B$19,MATCH(MAX(MIN('Disinfection &amp; Microbial Risk'!$C$9,INDEX('Disinfection &amp; Microbial Risk'!$B$14:$B$19,6)),INDEX('Disinfection &amp; Microbial Risk'!$B$14:$B$19,1)),'Disinfection &amp; Microbial Risk'!$B$14:$B$19,1)),0.000000001))</f>
        <v/>
      </c>
      <c r="D29" s="12">
        <f>(INDEX('Disinfection &amp; Microbial Risk'!$C$14:$C$19,MATCH(MAX(MIN('Disinfection &amp; Microbial Risk'!$C$9,INDEX('Disinfection &amp; Microbial Risk'!$B$14:$B$19,6)),INDEX('Disinfection &amp; Microbial Risk'!$B$14:$B$19,1)),'Disinfection &amp; Microbial Risk'!$B$14:$B$19,1))+(INDEX('Disinfection &amp; Microbial Risk'!$C$14:$C$19,MIN(MATCH(MAX(MIN('Disinfection &amp; Microbial Risk'!$C$9,INDEX('Disinfection &amp; Microbial Risk'!$B$14:$B$19,6)),INDEX('Disinfection &amp; Microbial Risk'!$B$14:$B$19,1)),'Disinfection &amp; Microbial Risk'!$B$14:$B$19,1)+1,6))-INDEX('Disinfection &amp; Microbial Risk'!$C$14:$C$19,MATCH(MAX(MIN('Disinfection &amp; Microbial Risk'!$C$9,INDEX('Disinfection &amp; Microbial Risk'!$B$14:$B$19,6)),INDEX('Disinfection &amp; Microbial Risk'!$B$14:$B$19,1)),'Disinfection &amp; Microbial Risk'!$B$14:$B$19,1)))*(MAX(MIN('Disinfection &amp; Microbial Risk'!$C$9,INDEX('Disinfection &amp; Microbial Risk'!$B$14:$B$19,6)),INDEX('Disinfection &amp; Microbial Risk'!$B$14:$B$19,1))-INDEX('Disinfection &amp; Microbial Risk'!$B$14:$B$19,MATCH(MAX(MIN('Disinfection &amp; Microbial Risk'!$C$9,INDEX('Disinfection &amp; Microbial Risk'!$B$14:$B$19,6)),INDEX('Disinfection &amp; Microbial Risk'!$B$14:$B$19,1)),'Disinfection &amp; Microbial Risk'!$B$14:$B$19,1)))/MAX(INDEX('Disinfection &amp; Microbial Risk'!$B$14:$B$19,MIN(MATCH(MAX(MIN('Disinfection &amp; Microbial Risk'!$C$9,INDEX('Disinfection &amp; Microbial Risk'!$B$14:$B$19,6)),INDEX('Disinfection &amp; Microbial Risk'!$B$14:$B$19,1)),'Disinfection &amp; Microbial Risk'!$B$14:$B$19,1)+1,6))-INDEX('Disinfection &amp; Microbial Risk'!$B$14:$B$19,MATCH(MAX(MIN('Disinfection &amp; Microbial Risk'!$C$9,INDEX('Disinfection &amp; Microbial Risk'!$B$14:$B$19,6)),INDEX('Disinfection &amp; Microbial Risk'!$B$14:$B$19,1)),'Disinfection &amp; Microbial Risk'!$B$14:$B$19,1)),0.000000001))</f>
        <v/>
      </c>
      <c r="E29" s="7" t="inlineStr">
        <is>
          <t>mg·min/L</t>
        </is>
      </c>
    </row>
    <row r="30">
      <c r="B30" s="5" t="inlineStr">
        <is>
          <t>CT required 3-log Giardia</t>
        </is>
      </c>
      <c r="C30" s="12">
        <f>(INDEX('Disinfection &amp; Microbial Risk'!$F$14:$F$18,MATCH(MAX(MIN('Disinfection &amp; Microbial Risk'!$C$9,INDEX('Disinfection &amp; Microbial Risk'!$E$14:$E$18,5)),INDEX('Disinfection &amp; Microbial Risk'!$E$14:$E$18,1)),'Disinfection &amp; Microbial Risk'!$E$14:$E$18,1))+(INDEX('Disinfection &amp; Microbial Risk'!$F$14:$F$18,MIN(MATCH(MAX(MIN('Disinfection &amp; Microbial Risk'!$C$9,INDEX('Disinfection &amp; Microbial Risk'!$E$14:$E$18,5)),INDEX('Disinfection &amp; Microbial Risk'!$E$14:$E$18,1)),'Disinfection &amp; Microbial Risk'!$E$14:$E$18,1)+1,5))-INDEX('Disinfection &amp; Microbial Risk'!$F$14:$F$18,MATCH(MAX(MIN('Disinfection &amp; Microbial Risk'!$C$9,INDEX('Disinfection &amp; Microbial Risk'!$E$14:$E$18,5)),INDEX('Disinfection &amp; Microbial Risk'!$E$14:$E$18,1)),'Disinfection &amp; Microbial Risk'!$E$14:$E$18,1)))*(MAX(MIN('Disinfection &amp; Microbial Risk'!$C$9,INDEX('Disinfection &amp; Microbial Risk'!$E$14:$E$18,5)),INDEX('Disinfection &amp; Microbial Risk'!$E$14:$E$18,1))-INDEX('Disinfection &amp; Microbial Risk'!$E$14:$E$18,MATCH(MAX(MIN('Disinfection &amp; Microbial Risk'!$C$9,INDEX('Disinfection &amp; Microbial Risk'!$E$14:$E$18,5)),INDEX('Disinfection &amp; Microbial Risk'!$E$14:$E$18,1)),'Disinfection &amp; Microbial Risk'!$E$14:$E$18,1)))/MAX(INDEX('Disinfection &amp; Microbial Risk'!$E$14:$E$18,MIN(MATCH(MAX(MIN('Disinfection &amp; Microbial Risk'!$C$9,INDEX('Disinfection &amp; Microbial Risk'!$E$14:$E$18,5)),INDEX('Disinfection &amp; Microbial Risk'!$E$14:$E$18,1)),'Disinfection &amp; Microbial Risk'!$E$14:$E$18,1)+1,5))-INDEX('Disinfection &amp; Microbial Risk'!$E$14:$E$18,MATCH(MAX(MIN('Disinfection &amp; Microbial Risk'!$C$9,INDEX('Disinfection &amp; Microbial Risk'!$E$14:$E$18,5)),INDEX('Disinfection &amp; Microbial Risk'!$E$14:$E$18,1)),'Disinfection &amp; Microbial Risk'!$E$14:$E$18,1)),0.000000001))</f>
        <v/>
      </c>
      <c r="D30" s="12">
        <f>(INDEX('Disinfection &amp; Microbial Risk'!$F$14:$F$18,MATCH(MAX(MIN('Disinfection &amp; Microbial Risk'!$C$9,INDEX('Disinfection &amp; Microbial Risk'!$E$14:$E$18,5)),INDEX('Disinfection &amp; Microbial Risk'!$E$14:$E$18,1)),'Disinfection &amp; Microbial Risk'!$E$14:$E$18,1))+(INDEX('Disinfection &amp; Microbial Risk'!$F$14:$F$18,MIN(MATCH(MAX(MIN('Disinfection &amp; Microbial Risk'!$C$9,INDEX('Disinfection &amp; Microbial Risk'!$E$14:$E$18,5)),INDEX('Disinfection &amp; Microbial Risk'!$E$14:$E$18,1)),'Disinfection &amp; Microbial Risk'!$E$14:$E$18,1)+1,5))-INDEX('Disinfection &amp; Microbial Risk'!$F$14:$F$18,MATCH(MAX(MIN('Disinfection &amp; Microbial Risk'!$C$9,INDEX('Disinfection &amp; Microbial Risk'!$E$14:$E$18,5)),INDEX('Disinfection &amp; Microbial Risk'!$E$14:$E$18,1)),'Disinfection &amp; Microbial Risk'!$E$14:$E$18,1)))*(MAX(MIN('Disinfection &amp; Microbial Risk'!$C$9,INDEX('Disinfection &amp; Microbial Risk'!$E$14:$E$18,5)),INDEX('Disinfection &amp; Microbial Risk'!$E$14:$E$18,1))-INDEX('Disinfection &amp; Microbial Risk'!$E$14:$E$18,MATCH(MAX(MIN('Disinfection &amp; Microbial Risk'!$C$9,INDEX('Disinfection &amp; Microbial Risk'!$E$14:$E$18,5)),INDEX('Disinfection &amp; Microbial Risk'!$E$14:$E$18,1)),'Disinfection &amp; Microbial Risk'!$E$14:$E$18,1)))/MAX(INDEX('Disinfection &amp; Microbial Risk'!$E$14:$E$18,MIN(MATCH(MAX(MIN('Disinfection &amp; Microbial Risk'!$C$9,INDEX('Disinfection &amp; Microbial Risk'!$E$14:$E$18,5)),INDEX('Disinfection &amp; Microbial Risk'!$E$14:$E$18,1)),'Disinfection &amp; Microbial Risk'!$E$14:$E$18,1)+1,5))-INDEX('Disinfection &amp; Microbial Risk'!$E$14:$E$18,MATCH(MAX(MIN('Disinfection &amp; Microbial Risk'!$C$9,INDEX('Disinfection &amp; Microbial Risk'!$E$14:$E$18,5)),INDEX('Disinfection &amp; Microbial Risk'!$E$14:$E$18,1)),'Disinfection &amp; Microbial Risk'!$E$14:$E$18,1)),0.000000001))</f>
        <v/>
      </c>
      <c r="E30" s="7" t="inlineStr">
        <is>
          <t>mg·min/L</t>
        </is>
      </c>
    </row>
    <row r="31">
      <c r="B31" s="5" t="inlineStr">
        <is>
          <t>Virus inactivation credit = MIN(4, 4·CT/CTreq)</t>
        </is>
      </c>
      <c r="C31" s="12">
        <f>'Process Flow Mass Balance'!$C$12*MIN(4,4*'Disinfection &amp; Microbial Risk'!$C$28/'Disinfection &amp; Microbial Risk'!$C$29)</f>
        <v/>
      </c>
      <c r="D31" s="12">
        <f>'Process Flow Mass Balance'!$C$12*MIN(4,4*'Disinfection &amp; Microbial Risk'!$D$28/'Disinfection &amp; Microbial Risk'!$D$29)</f>
        <v/>
      </c>
      <c r="E31" s="7" t="inlineStr">
        <is>
          <t>log</t>
        </is>
      </c>
    </row>
    <row r="32">
      <c r="B32" s="5" t="inlineStr">
        <is>
          <t>Giardia inactivation credit = MIN(3, 3·CT/CTreq)</t>
        </is>
      </c>
      <c r="C32" s="12">
        <f>'Process Flow Mass Balance'!$C$12*MIN(3,3*'Disinfection &amp; Microbial Risk'!$C$28/'Disinfection &amp; Microbial Risk'!$C$30)</f>
        <v/>
      </c>
      <c r="D32" s="12">
        <f>'Process Flow Mass Balance'!$C$12*MIN(3,3*'Disinfection &amp; Microbial Risk'!$D$28/'Disinfection &amp; Microbial Risk'!$D$30)</f>
        <v/>
      </c>
      <c r="E32" s="7" t="inlineStr">
        <is>
          <t>log</t>
        </is>
      </c>
    </row>
    <row r="33">
      <c r="B33" s="5" t="inlineStr">
        <is>
          <t>4-log virus achieved?</t>
        </is>
      </c>
      <c r="C33" s="17">
        <f>IF('Disinfection &amp; Microbial Risk'!$C$31&gt;=4,"✅ Achieved","❌ Not achieved")</f>
        <v/>
      </c>
      <c r="D33" s="17">
        <f>IF('Disinfection &amp; Microbial Risk'!$D$31&gt;=4,"✅ Achieved","❌ Not achieved")</f>
        <v/>
      </c>
      <c r="E33" s="7" t="inlineStr"/>
    </row>
    <row r="35">
      <c r="B35" s="3" t="inlineStr">
        <is>
          <t>4. Physical log-removal credits (enabled nodes, Mass Balance sheet)</t>
        </is>
      </c>
      <c r="C35" s="4" t="n"/>
      <c r="D35" s="4" t="n"/>
      <c r="E35" s="4" t="n"/>
      <c r="F35" s="4" t="n"/>
      <c r="G35" s="4" t="n"/>
    </row>
    <row r="36">
      <c r="B36" s="5" t="inlineStr">
        <is>
          <t>Virus LRV (Σ on × LRV)</t>
        </is>
      </c>
      <c r="C36" s="12">
        <f>SUMPRODUCT('Process Flow Mass Balance'!$C$7:$C$12,'Process Flow Mass Balance'!$F$7:$F$12)</f>
        <v/>
      </c>
      <c r="D36" s="7" t="inlineStr">
        <is>
          <t>log</t>
        </is>
      </c>
    </row>
    <row r="37">
      <c r="B37" s="5" t="inlineStr">
        <is>
          <t>Protozoa LRV</t>
        </is>
      </c>
      <c r="C37" s="12">
        <f>SUMPRODUCT('Process Flow Mass Balance'!$C$7:$C$12,'Process Flow Mass Balance'!$G$7:$G$12)</f>
        <v/>
      </c>
      <c r="D37" s="7" t="inlineStr">
        <is>
          <t>log</t>
        </is>
      </c>
    </row>
    <row r="38">
      <c r="B38" s="5" t="inlineStr">
        <is>
          <t>Bacteria LRV</t>
        </is>
      </c>
      <c r="C38" s="12">
        <f>SUMPRODUCT('Process Flow Mass Balance'!$C$7:$C$12,'Process Flow Mass Balance'!$H$7:$H$12)</f>
        <v/>
      </c>
      <c r="D38" s="7" t="inlineStr">
        <is>
          <t>log</t>
        </is>
      </c>
    </row>
    <row r="40">
      <c r="B40" s="3" t="inlineStr">
        <is>
          <t>5. Ingestion QMRA (worker exposure to cooling water)</t>
        </is>
      </c>
      <c r="C40" s="4" t="n"/>
      <c r="D40" s="4" t="n"/>
      <c r="E40" s="4" t="n"/>
      <c r="F40" s="4" t="n"/>
      <c r="G40" s="4" t="n"/>
    </row>
    <row r="41">
      <c r="B41" s="5" t="inlineStr">
        <is>
          <t>Target annual risk Py</t>
        </is>
      </c>
      <c r="C41" s="29" t="n">
        <v>0.0001</v>
      </c>
      <c r="D41" s="7" t="inlineStr">
        <is>
          <t>per yr</t>
        </is>
      </c>
    </row>
    <row r="42">
      <c r="B42" s="5" t="inlineStr">
        <is>
          <t>Ingested volume per event</t>
        </is>
      </c>
      <c r="C42" s="29" t="n">
        <v>1e-05</v>
      </c>
      <c r="D42" s="7" t="inlineStr">
        <is>
          <t>L</t>
        </is>
      </c>
      <c r="E42" s="8" t="inlineStr">
        <is>
          <t>WERF Table 3-1</t>
        </is>
      </c>
    </row>
    <row r="43">
      <c r="B43" s="5" t="inlineStr">
        <is>
          <t>Events per year n</t>
        </is>
      </c>
      <c r="C43" s="26" t="n">
        <v>250</v>
      </c>
      <c r="D43" s="7" t="inlineStr">
        <is>
          <t>1/yr</t>
        </is>
      </c>
    </row>
    <row r="44">
      <c r="B44" s="5" t="inlineStr">
        <is>
          <t>Allowable per-event risk Pd = 1 − (1 − Py)^(1/n)</t>
        </is>
      </c>
      <c r="C44" s="16">
        <f>1-(1-'Disinfection &amp; Microbial Risk'!$C$41)^(1/'Disinfection &amp; Microbial Risk'!$C$43)</f>
        <v/>
      </c>
      <c r="D44" s="7" t="inlineStr">
        <is>
          <t>-</t>
        </is>
      </c>
    </row>
    <row r="46">
      <c r="B46" s="11" t="inlineStr">
        <is>
          <t>Pathogen</t>
        </is>
      </c>
      <c r="C46" s="11" t="inlineStr">
        <is>
          <t>Model</t>
        </is>
      </c>
      <c r="D46" s="11" t="inlineStr">
        <is>
          <t>α</t>
        </is>
      </c>
      <c r="E46" s="11" t="inlineStr">
        <is>
          <t>β</t>
        </is>
      </c>
      <c r="F46" s="11" t="inlineStr">
        <is>
          <t>r</t>
        </is>
      </c>
      <c r="G46" s="11" t="inlineStr">
        <is>
          <t>LRV class</t>
        </is>
      </c>
      <c r="H46" s="11" t="inlineStr">
        <is>
          <t>C source</t>
        </is>
      </c>
      <c r="I46" s="11" t="inlineStr">
        <is>
          <t>Allowable dose d</t>
        </is>
      </c>
      <c r="J46" s="11" t="inlineStr">
        <is>
          <t>C target</t>
        </is>
      </c>
      <c r="K46" s="11" t="inlineStr">
        <is>
          <t>LRT required</t>
        </is>
      </c>
      <c r="L46" s="11" t="inlineStr">
        <is>
          <t>LRV Base</t>
        </is>
      </c>
      <c r="M46" s="11" t="inlineStr">
        <is>
          <t>Py Base</t>
        </is>
      </c>
      <c r="N46" s="11" t="inlineStr">
        <is>
          <t>Check Base</t>
        </is>
      </c>
      <c r="O46" s="11" t="inlineStr">
        <is>
          <t>LRV Opt</t>
        </is>
      </c>
      <c r="P46" s="11" t="inlineStr">
        <is>
          <t>Py Opt</t>
        </is>
      </c>
      <c r="Q46" s="11" t="inlineStr">
        <is>
          <t>Check Opt</t>
        </is>
      </c>
    </row>
    <row r="47">
      <c r="B47" s="5" t="inlineStr">
        <is>
          <t>Rotavirus</t>
        </is>
      </c>
      <c r="C47" s="6" t="inlineStr">
        <is>
          <t>beta_poisson</t>
        </is>
      </c>
      <c r="D47" s="20" t="n">
        <v>0.253</v>
      </c>
      <c r="E47" s="20" t="n">
        <v>0.422</v>
      </c>
      <c r="F47" s="29" t="n">
        <v>0</v>
      </c>
      <c r="G47" s="5" t="inlineStr">
        <is>
          <t>virus</t>
        </is>
      </c>
      <c r="H47" s="16">
        <f>'Source Library'!$J$22</f>
        <v/>
      </c>
      <c r="I47" s="16">
        <f>IF(C47="beta_poisson",E47*((1-'Disinfection &amp; Microbial Risk'!$C$44)^(-1/D47)-1),-LN(1-'Disinfection &amp; Microbial Risk'!$C$44)/F47)</f>
        <v/>
      </c>
      <c r="J47" s="16">
        <f>I47/'Disinfection &amp; Microbial Risk'!$C$42</f>
        <v/>
      </c>
      <c r="K47" s="12">
        <f>IF(H47&gt;J47,LOG(H47/J47),0)</f>
        <v/>
      </c>
      <c r="L47" s="12">
        <f>'Disinfection &amp; Microbial Risk'!$C$36+'Disinfection &amp; Microbial Risk'!$C$31</f>
        <v/>
      </c>
      <c r="M47" s="16">
        <f>1-(1-IF(C47="beta_poisson",1-(1+(H47/10^L47*'Disinfection &amp; Microbial Risk'!$C$42)/E47)^(-D47),1-EXP(-F47*(H47/10^L47*'Disinfection &amp; Microbial Risk'!$C$42))))^'Disinfection &amp; Microbial Risk'!$C$43</f>
        <v/>
      </c>
      <c r="N47" s="17">
        <f>IF(M47&lt;='Disinfection &amp; Microbial Risk'!$C$41,"✅","❌")</f>
        <v/>
      </c>
      <c r="O47" s="12">
        <f>'Disinfection &amp; Microbial Risk'!$C$36+'Disinfection &amp; Microbial Risk'!$D$31</f>
        <v/>
      </c>
      <c r="P47" s="16">
        <f>1-(1-IF(C47="beta_poisson",1-(1+(H47/10^O47*'Disinfection &amp; Microbial Risk'!$C$42)/E47)^(-D47),1-EXP(-F47*(H47/10^O47*'Disinfection &amp; Microbial Risk'!$C$42))))^'Disinfection &amp; Microbial Risk'!$C$43</f>
        <v/>
      </c>
      <c r="Q47" s="17">
        <f>IF(P47&lt;='Disinfection &amp; Microbial Risk'!$C$41,"✅","❌")</f>
        <v/>
      </c>
    </row>
    <row r="48">
      <c r="B48" s="5" t="inlineStr">
        <is>
          <t>Giardia</t>
        </is>
      </c>
      <c r="C48" s="6" t="inlineStr">
        <is>
          <t>exponential</t>
        </is>
      </c>
      <c r="D48" s="20" t="n">
        <v>0</v>
      </c>
      <c r="E48" s="20" t="n">
        <v>0</v>
      </c>
      <c r="F48" s="29" t="n">
        <v>0.0199</v>
      </c>
      <c r="G48" s="5" t="inlineStr">
        <is>
          <t>protozoa</t>
        </is>
      </c>
      <c r="H48" s="16">
        <f>'Source Library'!$J$23</f>
        <v/>
      </c>
      <c r="I48" s="16">
        <f>IF(C48="beta_poisson",E48*((1-'Disinfection &amp; Microbial Risk'!$C$44)^(-1/D48)-1),-LN(1-'Disinfection &amp; Microbial Risk'!$C$44)/F48)</f>
        <v/>
      </c>
      <c r="J48" s="16">
        <f>I48/'Disinfection &amp; Microbial Risk'!$C$42</f>
        <v/>
      </c>
      <c r="K48" s="12">
        <f>IF(H48&gt;J48,LOG(H48/J48),0)</f>
        <v/>
      </c>
      <c r="L48" s="12">
        <f>'Disinfection &amp; Microbial Risk'!$C$37+'Disinfection &amp; Microbial Risk'!$C$32</f>
        <v/>
      </c>
      <c r="M48" s="16">
        <f>1-(1-IF(C48="beta_poisson",1-(1+(H48/10^L48*'Disinfection &amp; Microbial Risk'!$C$42)/E48)^(-D48),1-EXP(-F48*(H48/10^L48*'Disinfection &amp; Microbial Risk'!$C$42))))^'Disinfection &amp; Microbial Risk'!$C$43</f>
        <v/>
      </c>
      <c r="N48" s="17">
        <f>IF(M48&lt;='Disinfection &amp; Microbial Risk'!$C$41,"✅","❌")</f>
        <v/>
      </c>
      <c r="O48" s="12">
        <f>'Disinfection &amp; Microbial Risk'!$C$37+'Disinfection &amp; Microbial Risk'!$D$32</f>
        <v/>
      </c>
      <c r="P48" s="16">
        <f>1-(1-IF(C48="beta_poisson",1-(1+(H48/10^O48*'Disinfection &amp; Microbial Risk'!$C$42)/E48)^(-D48),1-EXP(-F48*(H48/10^O48*'Disinfection &amp; Microbial Risk'!$C$42))))^'Disinfection &amp; Microbial Risk'!$C$43</f>
        <v/>
      </c>
      <c r="Q48" s="17">
        <f>IF(P48&lt;='Disinfection &amp; Microbial Risk'!$C$41,"✅","❌")</f>
        <v/>
      </c>
    </row>
    <row r="49">
      <c r="B49" s="5" t="inlineStr">
        <is>
          <t>Cryptosporidium</t>
        </is>
      </c>
      <c r="C49" s="6" t="inlineStr">
        <is>
          <t>exponential</t>
        </is>
      </c>
      <c r="D49" s="20" t="n">
        <v>0</v>
      </c>
      <c r="E49" s="20" t="n">
        <v>0</v>
      </c>
      <c r="F49" s="29" t="n">
        <v>0.004191</v>
      </c>
      <c r="G49" s="5" t="inlineStr">
        <is>
          <t>protozoa</t>
        </is>
      </c>
      <c r="H49" s="16">
        <f>'Source Library'!$J$24</f>
        <v/>
      </c>
      <c r="I49" s="16">
        <f>IF(C49="beta_poisson",E49*((1-'Disinfection &amp; Microbial Risk'!$C$44)^(-1/D49)-1),-LN(1-'Disinfection &amp; Microbial Risk'!$C$44)/F49)</f>
        <v/>
      </c>
      <c r="J49" s="16">
        <f>I49/'Disinfection &amp; Microbial Risk'!$C$42</f>
        <v/>
      </c>
      <c r="K49" s="12">
        <f>IF(H49&gt;J49,LOG(H49/J49),0)</f>
        <v/>
      </c>
      <c r="L49" s="12">
        <f>'Disinfection &amp; Microbial Risk'!$C$37+0</f>
        <v/>
      </c>
      <c r="M49" s="16">
        <f>1-(1-IF(C49="beta_poisson",1-(1+(H49/10^L49*'Disinfection &amp; Microbial Risk'!$C$42)/E49)^(-D49),1-EXP(-F49*(H49/10^L49*'Disinfection &amp; Microbial Risk'!$C$42))))^'Disinfection &amp; Microbial Risk'!$C$43</f>
        <v/>
      </c>
      <c r="N49" s="17">
        <f>IF(M49&lt;='Disinfection &amp; Microbial Risk'!$C$41,"✅","❌")</f>
        <v/>
      </c>
      <c r="O49" s="12">
        <f>'Disinfection &amp; Microbial Risk'!$C$37+0</f>
        <v/>
      </c>
      <c r="P49" s="16">
        <f>1-(1-IF(C49="beta_poisson",1-(1+(H49/10^O49*'Disinfection &amp; Microbial Risk'!$C$42)/E49)^(-D49),1-EXP(-F49*(H49/10^O49*'Disinfection &amp; Microbial Risk'!$C$42))))^'Disinfection &amp; Microbial Risk'!$C$43</f>
        <v/>
      </c>
      <c r="Q49" s="17">
        <f>IF(P49&lt;='Disinfection &amp; Microbial Risk'!$C$41,"✅","❌")</f>
        <v/>
      </c>
    </row>
    <row r="50">
      <c r="B50" s="5" t="inlineStr">
        <is>
          <t>Vibrio cholerae</t>
        </is>
      </c>
      <c r="C50" s="6" t="inlineStr">
        <is>
          <t>beta_poisson</t>
        </is>
      </c>
      <c r="D50" s="20" t="n">
        <v>0.097</v>
      </c>
      <c r="E50" s="20" t="n">
        <v>13020</v>
      </c>
      <c r="F50" s="29" t="n">
        <v>0</v>
      </c>
      <c r="G50" s="5" t="inlineStr">
        <is>
          <t>bacteria</t>
        </is>
      </c>
      <c r="H50" s="16">
        <f>'Source Library'!$J$25</f>
        <v/>
      </c>
      <c r="I50" s="16">
        <f>IF(C50="beta_poisson",E50*((1-'Disinfection &amp; Microbial Risk'!$C$44)^(-1/D50)-1),-LN(1-'Disinfection &amp; Microbial Risk'!$C$44)/F50)</f>
        <v/>
      </c>
      <c r="J50" s="16">
        <f>I50/'Disinfection &amp; Microbial Risk'!$C$42</f>
        <v/>
      </c>
      <c r="K50" s="12">
        <f>IF(H50&gt;J50,LOG(H50/J50),0)</f>
        <v/>
      </c>
      <c r="L50" s="12">
        <f>'Disinfection &amp; Microbial Risk'!$C$38+'Disinfection &amp; Microbial Risk'!$C$31</f>
        <v/>
      </c>
      <c r="M50" s="16">
        <f>1-(1-IF(C50="beta_poisson",1-(1+(H50/10^L50*'Disinfection &amp; Microbial Risk'!$C$42)/E50)^(-D50),1-EXP(-F50*(H50/10^L50*'Disinfection &amp; Microbial Risk'!$C$42))))^'Disinfection &amp; Microbial Risk'!$C$43</f>
        <v/>
      </c>
      <c r="N50" s="17">
        <f>IF(M50&lt;='Disinfection &amp; Microbial Risk'!$C$41,"✅","❌")</f>
        <v/>
      </c>
      <c r="O50" s="12">
        <f>'Disinfection &amp; Microbial Risk'!$C$38+'Disinfection &amp; Microbial Risk'!$D$31</f>
        <v/>
      </c>
      <c r="P50" s="16">
        <f>1-(1-IF(C50="beta_poisson",1-(1+(H50/10^O50*'Disinfection &amp; Microbial Risk'!$C$42)/E50)^(-D50),1-EXP(-F50*(H50/10^O50*'Disinfection &amp; Microbial Risk'!$C$42))))^'Disinfection &amp; Microbial Risk'!$C$43</f>
        <v/>
      </c>
      <c r="Q50" s="17">
        <f>IF(P50&lt;='Disinfection &amp; Microbial Risk'!$C$41,"✅","❌")</f>
        <v/>
      </c>
    </row>
    <row r="52">
      <c r="B52" s="5" t="inlineStr">
        <is>
          <t>All ingestion pathogens meet target (1/0)</t>
        </is>
      </c>
      <c r="C52" s="13">
        <f>IF(AND(N47="✅",N48="✅",N49="✅",N50="✅"),1,0)</f>
        <v/>
      </c>
      <c r="D52" s="13">
        <f>IF(AND(Q47="✅",Q48="✅",Q49="✅",Q50="✅"),1,0)</f>
        <v/>
      </c>
    </row>
    <row r="55">
      <c r="B55" s="3" t="inlineStr">
        <is>
          <t>6. Legionella inhalation QMRA — drift aerosol (exponential, r = 0.06)</t>
        </is>
      </c>
      <c r="C55" s="4" t="n"/>
      <c r="D55" s="4" t="n"/>
      <c r="E55" s="4" t="n"/>
      <c r="F55" s="4" t="n"/>
      <c r="G55" s="4" t="n"/>
    </row>
    <row r="56">
      <c r="B56" s="5" t="inlineStr">
        <is>
          <t>Recirculating Legionella (control level)</t>
        </is>
      </c>
      <c r="C56" s="26" t="n">
        <v>1000</v>
      </c>
      <c r="D56" s="7" t="inlineStr">
        <is>
          <t>CFU/L</t>
        </is>
      </c>
    </row>
    <row r="57">
      <c r="B57" s="5" t="inlineStr">
        <is>
          <t>Receptor plume dilution</t>
        </is>
      </c>
      <c r="C57" s="29" t="n">
        <v>0.01</v>
      </c>
      <c r="D57" s="7" t="inlineStr">
        <is>
          <t>-</t>
        </is>
      </c>
      <c r="E57" s="8" t="inlineStr">
        <is>
          <t>Screening</t>
        </is>
      </c>
    </row>
    <row r="58">
      <c r="B58" s="5" t="inlineStr">
        <is>
          <t>Respirable fraction of drift water</t>
        </is>
      </c>
      <c r="C58" s="21" t="n">
        <v>0.1</v>
      </c>
      <c r="D58" s="7" t="inlineStr">
        <is>
          <t>-</t>
        </is>
      </c>
      <c r="E58" s="8" t="inlineStr">
        <is>
          <t>Screening</t>
        </is>
      </c>
    </row>
    <row r="59">
      <c r="B59" s="5" t="inlineStr">
        <is>
          <t>Breathing rate</t>
        </is>
      </c>
      <c r="C59" s="21" t="n">
        <v>1.3</v>
      </c>
      <c r="D59" s="7" t="inlineStr">
        <is>
          <t>m³/h</t>
        </is>
      </c>
    </row>
    <row r="60">
      <c r="B60" s="5" t="inlineStr">
        <is>
          <t>Exposure duration per event</t>
        </is>
      </c>
      <c r="C60" s="21" t="n">
        <v>1</v>
      </c>
      <c r="D60" s="7" t="inlineStr">
        <is>
          <t>h</t>
        </is>
      </c>
    </row>
    <row r="61">
      <c r="B61" s="5" t="inlineStr">
        <is>
          <t>Events per year</t>
        </is>
      </c>
      <c r="C61" s="26" t="n">
        <v>250</v>
      </c>
      <c r="D61" s="7" t="inlineStr">
        <is>
          <t>1/yr</t>
        </is>
      </c>
    </row>
    <row r="62">
      <c r="B62" s="5" t="inlineStr">
        <is>
          <t>Dose-response r</t>
        </is>
      </c>
      <c r="C62" s="20" t="n">
        <v>0.06</v>
      </c>
      <c r="D62" s="7" t="inlineStr">
        <is>
          <t>-</t>
        </is>
      </c>
      <c r="E62" s="8" t="inlineStr">
        <is>
          <t>Armstrong &amp; Haas (2007)</t>
        </is>
      </c>
    </row>
    <row r="63">
      <c r="B63" s="11" t="inlineStr">
        <is>
          <t>Parameter</t>
        </is>
      </c>
      <c r="C63" s="11" t="inlineStr">
        <is>
          <t>Current Baseline</t>
        </is>
      </c>
      <c r="D63" s="11" t="inlineStr">
        <is>
          <t>Corrugated Fill + High CoC</t>
        </is>
      </c>
      <c r="E63" s="11" t="inlineStr">
        <is>
          <t>Unit</t>
        </is>
      </c>
      <c r="F63" s="11" t="inlineStr">
        <is>
          <t>Formula</t>
        </is>
      </c>
    </row>
    <row r="64">
      <c r="B64" s="5" t="inlineStr">
        <is>
          <t>Aerosol water at receptor</t>
        </is>
      </c>
      <c r="C64" s="16">
        <f>'Cooling Tower &amp; Corrugated Fill'!$C$61/1440*3.78541/60/'Pumping &amp; Fan Hydraulics'!$C$20*'Disinfection &amp; Microbial Risk'!$C$57</f>
        <v/>
      </c>
      <c r="D64" s="16">
        <f>'Cooling Tower &amp; Corrugated Fill'!$D$61/1440*3.78541/60/'Pumping &amp; Fan Hydraulics'!$D$20*'Disinfection &amp; Microbial Risk'!$C$57</f>
        <v/>
      </c>
      <c r="E64" s="7" t="inlineStr">
        <is>
          <t>L/m³</t>
        </is>
      </c>
    </row>
    <row r="65">
      <c r="B65" s="5" t="inlineStr">
        <is>
          <t>Inhaled water-equivalent volume</t>
        </is>
      </c>
      <c r="C65" s="16">
        <f>'Disinfection &amp; Microbial Risk'!$C$64*'Disinfection &amp; Microbial Risk'!$C$58*'Disinfection &amp; Microbial Risk'!$C$59*'Disinfection &amp; Microbial Risk'!$C$60</f>
        <v/>
      </c>
      <c r="D65" s="16">
        <f>'Disinfection &amp; Microbial Risk'!$D$64*'Disinfection &amp; Microbial Risk'!$C$58*'Disinfection &amp; Microbial Risk'!$C$59*'Disinfection &amp; Microbial Risk'!$C$60</f>
        <v/>
      </c>
      <c r="E65" s="7" t="inlineStr">
        <is>
          <t>L/event</t>
        </is>
      </c>
    </row>
    <row r="66">
      <c r="B66" s="5" t="inlineStr">
        <is>
          <t>Dose d = C × V</t>
        </is>
      </c>
      <c r="C66" s="16">
        <f>'Disinfection &amp; Microbial Risk'!$C$56*'Disinfection &amp; Microbial Risk'!$C$65</f>
        <v/>
      </c>
      <c r="D66" s="16">
        <f>'Disinfection &amp; Microbial Risk'!$C$56*'Disinfection &amp; Microbial Risk'!$D$65</f>
        <v/>
      </c>
      <c r="E66" s="7" t="inlineStr">
        <is>
          <t>CFU</t>
        </is>
      </c>
    </row>
    <row r="67">
      <c r="B67" s="5" t="inlineStr">
        <is>
          <t>Pd = 1 − EXP(−r·d)</t>
        </is>
      </c>
      <c r="C67" s="16">
        <f>1-EXP(-'Disinfection &amp; Microbial Risk'!$C$62*'Disinfection &amp; Microbial Risk'!$C$66)</f>
        <v/>
      </c>
      <c r="D67" s="16">
        <f>1-EXP(-'Disinfection &amp; Microbial Risk'!$C$62*'Disinfection &amp; Microbial Risk'!$D$66)</f>
        <v/>
      </c>
      <c r="E67" s="7" t="inlineStr">
        <is>
          <t>-</t>
        </is>
      </c>
    </row>
    <row r="68">
      <c r="B68" s="5" t="inlineStr">
        <is>
          <t>Py = 1 − (1 − Pd)^n</t>
        </is>
      </c>
      <c r="C68" s="16">
        <f>1-(1-'Disinfection &amp; Microbial Risk'!$C$67)^'Disinfection &amp; Microbial Risk'!$C$61</f>
        <v/>
      </c>
      <c r="D68" s="16">
        <f>1-(1-'Disinfection &amp; Microbial Risk'!$D$67)^'Disinfection &amp; Microbial Risk'!$C$61</f>
        <v/>
      </c>
      <c r="E68" s="7" t="inlineStr">
        <is>
          <t>per yr</t>
        </is>
      </c>
    </row>
    <row r="69">
      <c r="B69" s="5" t="inlineStr">
        <is>
          <t>Allowable recirculating Legionella</t>
        </is>
      </c>
      <c r="C69" s="16">
        <f>-LN(1-(1-(1-'Disinfection &amp; Microbial Risk'!$C$41)^(1/'Disinfection &amp; Microbial Risk'!$C$61)))/'Disinfection &amp; Microbial Risk'!$C$62/'Disinfection &amp; Microbial Risk'!$C$65</f>
        <v/>
      </c>
      <c r="D69" s="16">
        <f>-LN(1-(1-(1-'Disinfection &amp; Microbial Risk'!$C$41)^(1/'Disinfection &amp; Microbial Risk'!$C$61)))/'Disinfection &amp; Microbial Risk'!$C$62/'Disinfection &amp; Microbial Risk'!$D$65</f>
        <v/>
      </c>
      <c r="E69" s="7" t="inlineStr">
        <is>
          <t>CFU/L</t>
        </is>
      </c>
    </row>
    <row r="70">
      <c r="B70" s="5" t="inlineStr">
        <is>
          <t>Required additional LRT on recirc water</t>
        </is>
      </c>
      <c r="C70" s="12">
        <f>IF('Disinfection &amp; Microbial Risk'!$C$56&gt;'Disinfection &amp; Microbial Risk'!$C$69,LOG('Disinfection &amp; Microbial Risk'!$C$56/'Disinfection &amp; Microbial Risk'!$C$69),0)</f>
        <v/>
      </c>
      <c r="D70" s="12">
        <f>IF('Disinfection &amp; Microbial Risk'!$C$56&gt;'Disinfection &amp; Microbial Risk'!$D$69,LOG('Disinfection &amp; Microbial Risk'!$C$56/'Disinfection &amp; Microbial Risk'!$D$69),0)</f>
        <v/>
      </c>
      <c r="E70" s="7" t="inlineStr">
        <is>
          <t>log</t>
        </is>
      </c>
    </row>
    <row r="71">
      <c r="B71" s="5" t="inlineStr">
        <is>
          <t>Legionella risk check</t>
        </is>
      </c>
      <c r="C71" s="17">
        <f>IF('Disinfection &amp; Microbial Risk'!$C$68&lt;='Disinfection &amp; Microbial Risk'!$C$41,"✅ Py ≤ 1e-4","❌ Py &gt; 1e-4")</f>
        <v/>
      </c>
      <c r="D71" s="17">
        <f>IF('Disinfection &amp; Microbial Risk'!$D$68&lt;='Disinfection &amp; Microbial Risk'!$C$41,"✅ Py ≤ 1e-4","❌ Py &gt; 1e-4")</f>
        <v/>
      </c>
      <c r="E71" s="7" t="inlineStr"/>
    </row>
  </sheetData>
  <conditionalFormatting sqref="C33">
    <cfRule type="expression" priority="1" dxfId="0">
      <formula>ISNUMBER(SEARCH("❌",C33))</formula>
    </cfRule>
    <cfRule type="expression" priority="2" dxfId="1">
      <formula>ISNUMBER(SEARCH("✅",C33))</formula>
    </cfRule>
  </conditionalFormatting>
  <conditionalFormatting sqref="D33">
    <cfRule type="expression" priority="3" dxfId="0">
      <formula>ISNUMBER(SEARCH("❌",D33))</formula>
    </cfRule>
    <cfRule type="expression" priority="4" dxfId="1">
      <formula>ISNUMBER(SEARCH("✅",D33))</formula>
    </cfRule>
  </conditionalFormatting>
  <conditionalFormatting sqref="N47">
    <cfRule type="expression" priority="5" dxfId="0">
      <formula>ISNUMBER(SEARCH("❌",N47))</formula>
    </cfRule>
    <cfRule type="expression" priority="6" dxfId="1">
      <formula>ISNUMBER(SEARCH("✅",N47))</formula>
    </cfRule>
  </conditionalFormatting>
  <conditionalFormatting sqref="Q47">
    <cfRule type="expression" priority="7" dxfId="0">
      <formula>ISNUMBER(SEARCH("❌",Q47))</formula>
    </cfRule>
    <cfRule type="expression" priority="8" dxfId="1">
      <formula>ISNUMBER(SEARCH("✅",Q47))</formula>
    </cfRule>
  </conditionalFormatting>
  <conditionalFormatting sqref="N48">
    <cfRule type="expression" priority="9" dxfId="0">
      <formula>ISNUMBER(SEARCH("❌",N48))</formula>
    </cfRule>
    <cfRule type="expression" priority="10" dxfId="1">
      <formula>ISNUMBER(SEARCH("✅",N48))</formula>
    </cfRule>
  </conditionalFormatting>
  <conditionalFormatting sqref="Q48">
    <cfRule type="expression" priority="11" dxfId="0">
      <formula>ISNUMBER(SEARCH("❌",Q48))</formula>
    </cfRule>
    <cfRule type="expression" priority="12" dxfId="1">
      <formula>ISNUMBER(SEARCH("✅",Q48))</formula>
    </cfRule>
  </conditionalFormatting>
  <conditionalFormatting sqref="N49">
    <cfRule type="expression" priority="13" dxfId="0">
      <formula>ISNUMBER(SEARCH("❌",N49))</formula>
    </cfRule>
    <cfRule type="expression" priority="14" dxfId="1">
      <formula>ISNUMBER(SEARCH("✅",N49))</formula>
    </cfRule>
  </conditionalFormatting>
  <conditionalFormatting sqref="Q49">
    <cfRule type="expression" priority="15" dxfId="0">
      <formula>ISNUMBER(SEARCH("❌",Q49))</formula>
    </cfRule>
    <cfRule type="expression" priority="16" dxfId="1">
      <formula>ISNUMBER(SEARCH("✅",Q49))</formula>
    </cfRule>
  </conditionalFormatting>
  <conditionalFormatting sqref="N50">
    <cfRule type="expression" priority="17" dxfId="0">
      <formula>ISNUMBER(SEARCH("❌",N50))</formula>
    </cfRule>
    <cfRule type="expression" priority="18" dxfId="1">
      <formula>ISNUMBER(SEARCH("✅",N50))</formula>
    </cfRule>
  </conditionalFormatting>
  <conditionalFormatting sqref="Q50">
    <cfRule type="expression" priority="19" dxfId="0">
      <formula>ISNUMBER(SEARCH("❌",Q50))</formula>
    </cfRule>
    <cfRule type="expression" priority="20" dxfId="1">
      <formula>ISNUMBER(SEARCH("✅",Q50))</formula>
    </cfRule>
  </conditionalFormatting>
  <conditionalFormatting sqref="C71">
    <cfRule type="expression" priority="21" dxfId="0">
      <formula>ISNUMBER(SEARCH("❌",C71))</formula>
    </cfRule>
    <cfRule type="expression" priority="22" dxfId="1">
      <formula>ISNUMBER(SEARCH("✅",C71))</formula>
    </cfRule>
  </conditionalFormatting>
  <conditionalFormatting sqref="D71">
    <cfRule type="expression" priority="23" dxfId="0">
      <formula>ISNUMBER(SEARCH("❌",D71))</formula>
    </cfRule>
    <cfRule type="expression" priority="24" dxfId="1">
      <formula>ISNUMBER(SEARCH("✅",D71))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548235"/>
    <outlinePr summaryBelow="1" summaryRight="1"/>
    <pageSetUpPr/>
  </sheetPr>
  <dimension ref="B1:H80"/>
  <sheetViews>
    <sheetView showGridLines="1" workbookViewId="0">
      <selection activeCell="A1" sqref="A1"/>
    </sheetView>
  </sheetViews>
  <sheetFormatPr baseColWidth="8" defaultRowHeight="15"/>
  <cols>
    <col width="2" customWidth="1" min="1" max="1"/>
    <col width="50" customWidth="1" min="2" max="2"/>
    <col width="26" customWidth="1" min="3" max="3"/>
    <col width="28" customWidth="1" min="4" max="4"/>
    <col width="18" customWidth="1" min="5" max="5"/>
    <col width="18" customWidth="1" min="6" max="6"/>
  </cols>
  <sheetData>
    <row r="1">
      <c r="B1" s="1" t="inlineStr">
        <is>
          <t>Financial &amp; Lifecycle Cost Analysis (NYC DEP FY2022 tariffs)</t>
        </is>
      </c>
    </row>
    <row r="2">
      <c r="B2" s="2" t="inlineStr">
        <is>
          <t>i = r_interest + r_inflation · PV = FV/(1+i)^n · NPV = Σ CF_t/(1+i)^t − CapEx · SPBT = CapEx / savings</t>
        </is>
      </c>
    </row>
    <row r="5">
      <c r="B5" s="3" t="inlineStr">
        <is>
          <t>1. Tariffs, prices &amp; finance inputs</t>
        </is>
      </c>
      <c r="C5" s="4" t="n"/>
      <c r="D5" s="4" t="n"/>
      <c r="E5" s="4" t="n"/>
      <c r="F5" s="4" t="n"/>
      <c r="G5" s="4" t="n"/>
    </row>
    <row r="6">
      <c r="B6" s="5" t="inlineStr">
        <is>
          <t>Water rate</t>
        </is>
      </c>
      <c r="C6" s="21" t="n">
        <v>4.1</v>
      </c>
      <c r="D6" s="7" t="inlineStr">
        <is>
          <t>$/100 ft³</t>
        </is>
      </c>
      <c r="E6" s="8" t="inlineStr">
        <is>
          <t>NYC DEP FY22 metered water</t>
        </is>
      </c>
    </row>
    <row r="7">
      <c r="B7" s="5" t="inlineStr">
        <is>
          <t>Water rate</t>
        </is>
      </c>
      <c r="C7" s="14">
        <f>'Financial &amp; LCC Analysis'!$C$6/748.052*1000</f>
        <v/>
      </c>
      <c r="D7" s="7" t="inlineStr">
        <is>
          <t>$/kgal</t>
        </is>
      </c>
    </row>
    <row r="8">
      <c r="B8" s="5" t="inlineStr">
        <is>
          <t>Sewer charge multiplier</t>
        </is>
      </c>
      <c r="C8" s="21" t="n">
        <v>1.59</v>
      </c>
      <c r="D8" s="7" t="inlineStr">
        <is>
          <t>× water</t>
        </is>
      </c>
      <c r="E8" s="8" t="inlineStr">
        <is>
          <t>159 % of water charge</t>
        </is>
      </c>
    </row>
    <row r="9">
      <c r="B9" s="5" t="inlineStr">
        <is>
          <t>Sewer rate</t>
        </is>
      </c>
      <c r="C9" s="14">
        <f>'Financial &amp; LCC Analysis'!$C$7*'Financial &amp; LCC Analysis'!$C$8</f>
        <v/>
      </c>
      <c r="D9" s="7" t="inlineStr">
        <is>
          <t>$/kgal</t>
        </is>
      </c>
    </row>
    <row r="10">
      <c r="B10" s="5" t="inlineStr">
        <is>
          <t>Cooling-tower sewer allowance (evaporation exempt) 1/0</t>
        </is>
      </c>
      <c r="C10" s="6" t="n">
        <v>1</v>
      </c>
      <c r="D10" s="7" t="inlineStr">
        <is>
          <t>-</t>
        </is>
      </c>
    </row>
    <row r="11">
      <c r="B11" s="5" t="inlineStr">
        <is>
          <t>Electricity</t>
        </is>
      </c>
      <c r="C11" s="20" t="n">
        <v>0.2</v>
      </c>
      <c r="D11" s="7" t="inlineStr">
        <is>
          <t>$/kWh</t>
        </is>
      </c>
    </row>
    <row r="12">
      <c r="B12" s="5" t="inlineStr">
        <is>
          <t>Sodium hypochlorite (as Cl₂)</t>
        </is>
      </c>
      <c r="C12" s="21" t="n">
        <v>0.6</v>
      </c>
      <c r="D12" s="7" t="inlineStr">
        <is>
          <t>$/kg</t>
        </is>
      </c>
    </row>
    <row r="13">
      <c r="B13" s="5" t="inlineStr">
        <is>
          <t>Alum</t>
        </is>
      </c>
      <c r="C13" s="21" t="n">
        <v>0.35</v>
      </c>
      <c r="D13" s="7" t="inlineStr">
        <is>
          <t>$/kg</t>
        </is>
      </c>
    </row>
    <row r="14">
      <c r="B14" s="5" t="inlineStr">
        <is>
          <t>Scale/corrosion inhibitor</t>
        </is>
      </c>
      <c r="C14" s="21" t="n">
        <v>3</v>
      </c>
      <c r="D14" s="7" t="inlineStr">
        <is>
          <t>$/kg</t>
        </is>
      </c>
    </row>
    <row r="15">
      <c r="B15" s="5" t="inlineStr">
        <is>
          <t>Sludge disposal</t>
        </is>
      </c>
      <c r="C15" s="21" t="n">
        <v>150</v>
      </c>
      <c r="D15" s="7" t="inlineStr">
        <is>
          <t>$/dry ton</t>
        </is>
      </c>
    </row>
    <row r="16">
      <c r="B16" s="5" t="inlineStr">
        <is>
          <t>Alum sludge yield</t>
        </is>
      </c>
      <c r="C16" s="21" t="n">
        <v>0.26</v>
      </c>
      <c r="D16" s="7" t="inlineStr">
        <is>
          <t>kg/kg</t>
        </is>
      </c>
    </row>
    <row r="17">
      <c r="B17" s="5" t="inlineStr">
        <is>
          <t>Tower biocide dose (per makeup)</t>
        </is>
      </c>
      <c r="C17" s="21" t="n">
        <v>2</v>
      </c>
      <c r="D17" s="7" t="inlineStr">
        <is>
          <t>mg/L</t>
        </is>
      </c>
    </row>
    <row r="18">
      <c r="B18" s="5" t="inlineStr">
        <is>
          <t>Inhibitor held in recirculation</t>
        </is>
      </c>
      <c r="C18" s="21" t="n">
        <v>10</v>
      </c>
      <c r="D18" s="7" t="inlineStr">
        <is>
          <t>mg/L</t>
        </is>
      </c>
    </row>
    <row r="19">
      <c r="B19" s="5" t="inlineStr">
        <is>
          <t>Grid emission factor</t>
        </is>
      </c>
      <c r="C19" s="21" t="n">
        <v>0.88</v>
      </c>
      <c r="D19" s="7" t="inlineStr">
        <is>
          <t>lb CO₂/kWh</t>
        </is>
      </c>
    </row>
    <row r="20">
      <c r="B20" s="5" t="inlineStr">
        <is>
          <t>Social cost of carbon</t>
        </is>
      </c>
      <c r="C20" s="26" t="n">
        <v>142</v>
      </c>
      <c r="D20" s="7" t="inlineStr">
        <is>
          <t>$/t</t>
        </is>
      </c>
    </row>
    <row r="21">
      <c r="B21" s="5" t="inlineStr">
        <is>
          <t>Hours per year</t>
        </is>
      </c>
      <c r="C21" s="26" t="n">
        <v>8760</v>
      </c>
      <c r="D21" s="7" t="inlineStr">
        <is>
          <t>h</t>
        </is>
      </c>
    </row>
    <row r="22">
      <c r="B22" s="5" t="inlineStr">
        <is>
          <t>Operating days equivalent = hours/24 × utilization</t>
        </is>
      </c>
      <c r="C22" s="28">
        <f>'Financial &amp; LCC Analysis'!$C$21/24*'Dashboard'!$C$10</f>
        <v/>
      </c>
      <c r="D22" s="7" t="inlineStr">
        <is>
          <t>d/yr</t>
        </is>
      </c>
    </row>
    <row r="23">
      <c r="B23" s="5" t="inlineStr">
        <is>
          <t>Interest rate</t>
        </is>
      </c>
      <c r="C23" s="10" t="n">
        <v>0.04</v>
      </c>
      <c r="D23" s="7" t="inlineStr">
        <is>
          <t>-</t>
        </is>
      </c>
    </row>
    <row r="24">
      <c r="B24" s="5" t="inlineStr">
        <is>
          <t>Inflation rate</t>
        </is>
      </c>
      <c r="C24" s="10" t="n">
        <v>0.03</v>
      </c>
      <c r="D24" s="7" t="inlineStr">
        <is>
          <t>-</t>
        </is>
      </c>
    </row>
    <row r="25">
      <c r="B25" s="5" t="inlineStr">
        <is>
          <t>Discount rate i = interest + inflation</t>
        </is>
      </c>
      <c r="C25" s="18">
        <f>'Financial &amp; LCC Analysis'!$C$23+'Financial &amp; LCC Analysis'!$C$24</f>
        <v/>
      </c>
      <c r="D25" s="7" t="inlineStr">
        <is>
          <t>-</t>
        </is>
      </c>
    </row>
    <row r="26">
      <c r="B26" s="5" t="inlineStr">
        <is>
          <t>Utility cost escalation</t>
        </is>
      </c>
      <c r="C26" s="10" t="n">
        <v>0.0276</v>
      </c>
      <c r="D26" s="7" t="inlineStr">
        <is>
          <t>-</t>
        </is>
      </c>
      <c r="E26" s="8" t="inlineStr">
        <is>
          <t>NYC water rate +2.76 % (FY22)</t>
        </is>
      </c>
    </row>
    <row r="27">
      <c r="B27" s="5" t="inlineStr">
        <is>
          <t>Fill cost</t>
        </is>
      </c>
      <c r="C27" s="26" t="n">
        <v>350</v>
      </c>
      <c r="D27" s="7" t="inlineStr">
        <is>
          <t>$/m³</t>
        </is>
      </c>
    </row>
    <row r="28">
      <c r="B28" s="5" t="inlineStr">
        <is>
          <t>Drift eliminator cost</t>
        </is>
      </c>
      <c r="C28" s="26" t="n">
        <v>120</v>
      </c>
      <c r="D28" s="7" t="inlineStr">
        <is>
          <t>$/m²</t>
        </is>
      </c>
    </row>
    <row r="29">
      <c r="B29" s="5" t="inlineStr">
        <is>
          <t>Blowdown-recovery RO cost</t>
        </is>
      </c>
      <c r="C29" s="21" t="n">
        <v>2</v>
      </c>
      <c r="D29" s="7" t="inlineStr">
        <is>
          <t>$/gpd</t>
        </is>
      </c>
    </row>
    <row r="30">
      <c r="B30" s="5" t="inlineStr">
        <is>
          <t>Installation factor</t>
        </is>
      </c>
      <c r="C30" s="21" t="n">
        <v>1.3</v>
      </c>
      <c r="D30" s="7" t="inlineStr">
        <is>
          <t>×</t>
        </is>
      </c>
    </row>
    <row r="32">
      <c r="B32" s="3" t="inlineStr">
        <is>
          <t>2. Annual quantities</t>
        </is>
      </c>
      <c r="C32" s="4" t="n"/>
      <c r="D32" s="4" t="n"/>
      <c r="E32" s="4" t="n"/>
      <c r="F32" s="4" t="n"/>
      <c r="G32" s="4" t="n"/>
    </row>
    <row r="33">
      <c r="B33" s="11" t="inlineStr">
        <is>
          <t>Quantity</t>
        </is>
      </c>
      <c r="C33" s="11" t="inlineStr">
        <is>
          <t>Current Baseline</t>
        </is>
      </c>
      <c r="D33" s="11" t="inlineStr">
        <is>
          <t>Corrugated Fill + High CoC</t>
        </is>
      </c>
      <c r="E33" s="11" t="inlineStr">
        <is>
          <t>Unit</t>
        </is>
      </c>
      <c r="F33" s="11" t="inlineStr"/>
    </row>
    <row r="34">
      <c r="B34" s="5" t="inlineStr">
        <is>
          <t>Raw water intake</t>
        </is>
      </c>
      <c r="C34" s="13">
        <f>'Cooling Tower &amp; Corrugated Fill'!$C$86*'Financial &amp; LCC Analysis'!$C$22</f>
        <v/>
      </c>
      <c r="D34" s="13">
        <f>'Cooling Tower &amp; Corrugated Fill'!$D$86*'Financial &amp; LCC Analysis'!$C$22</f>
        <v/>
      </c>
      <c r="E34" s="7" t="inlineStr">
        <is>
          <t>gal/yr</t>
        </is>
      </c>
    </row>
    <row r="35">
      <c r="B35" s="5" t="inlineStr">
        <is>
          <t>Sewer discharge</t>
        </is>
      </c>
      <c r="C35" s="13">
        <f>'Cooling Tower &amp; Corrugated Fill'!$C$89*'Financial &amp; LCC Analysis'!$C$22</f>
        <v/>
      </c>
      <c r="D35" s="13">
        <f>'Cooling Tower &amp; Corrugated Fill'!$D$89*'Financial &amp; LCC Analysis'!$C$22</f>
        <v/>
      </c>
      <c r="E35" s="7" t="inlineStr">
        <is>
          <t>gal/yr</t>
        </is>
      </c>
    </row>
    <row r="36">
      <c r="B36" s="5" t="inlineStr">
        <is>
          <t>Electricity</t>
        </is>
      </c>
      <c r="C36" s="13">
        <f>'Pumping &amp; Fan Hydraulics'!$C$47*'Financial &amp; LCC Analysis'!$C$21*'Dashboard'!$C$10</f>
        <v/>
      </c>
      <c r="D36" s="13">
        <f>'Pumping &amp; Fan Hydraulics'!$D$47*'Financial &amp; LCC Analysis'!$C$21*'Dashboard'!$C$10</f>
        <v/>
      </c>
      <c r="E36" s="7" t="inlineStr">
        <is>
          <t>kWh/yr</t>
        </is>
      </c>
    </row>
    <row r="37">
      <c r="B37" s="5" t="inlineStr">
        <is>
          <t>Alum</t>
        </is>
      </c>
      <c r="C37" s="13">
        <f>'Process Flow Mass Balance'!$C$8*'Process Flow Mass Balance'!$C$27*'Cooling Tower &amp; Corrugated Fill'!$C$86*'Process Flow Mass Balance'!$K$8*3.78541/1000000*'Financial &amp; LCC Analysis'!$C$22</f>
        <v/>
      </c>
      <c r="D37" s="13">
        <f>'Process Flow Mass Balance'!$C$8*'Process Flow Mass Balance'!$C$27*'Cooling Tower &amp; Corrugated Fill'!$D$86*'Process Flow Mass Balance'!$K$8*3.78541/1000000*'Financial &amp; LCC Analysis'!$C$22</f>
        <v/>
      </c>
      <c r="E37" s="7" t="inlineStr">
        <is>
          <t>kg/yr</t>
        </is>
      </c>
    </row>
    <row r="38">
      <c r="B38" s="5" t="inlineStr">
        <is>
          <t>NaOCl (contact + tower biocide)</t>
        </is>
      </c>
      <c r="C38" s="13">
        <f>('Process Flow Mass Balance'!$C$12*'Process Flow Mass Balance'!$M$46*'Cooling Tower &amp; Corrugated Fill'!$C$86*'Process Flow Mass Balance'!$K$12+'Financial &amp; LCC Analysis'!$C$17*'Cooling Tower &amp; Corrugated Fill'!$C$85)*3.78541/1000000*'Financial &amp; LCC Analysis'!$C$22</f>
        <v/>
      </c>
      <c r="D38" s="13">
        <f>('Process Flow Mass Balance'!$C$12*'Process Flow Mass Balance'!$M$46*'Cooling Tower &amp; Corrugated Fill'!$D$86*'Process Flow Mass Balance'!$K$12+'Financial &amp; LCC Analysis'!$C$17*'Cooling Tower &amp; Corrugated Fill'!$D$85)*3.78541/1000000*'Financial &amp; LCC Analysis'!$C$22</f>
        <v/>
      </c>
      <c r="E38" s="7" t="inlineStr">
        <is>
          <t>kg/yr</t>
        </is>
      </c>
    </row>
    <row r="39">
      <c r="B39" s="5" t="inlineStr">
        <is>
          <t>Inhibitor = C × (B + D)</t>
        </is>
      </c>
      <c r="C39" s="13">
        <f>'Financial &amp; LCC Analysis'!$C$18*('Cooling Tower &amp; Corrugated Fill'!$C$80+'Cooling Tower &amp; Corrugated Fill'!$C$61)*3.78541/1000000*'Financial &amp; LCC Analysis'!$C$22</f>
        <v/>
      </c>
      <c r="D39" s="13">
        <f>'Financial &amp; LCC Analysis'!$C$18*('Cooling Tower &amp; Corrugated Fill'!$D$80+'Cooling Tower &amp; Corrugated Fill'!$D$61)*3.78541/1000000*'Financial &amp; LCC Analysis'!$C$22</f>
        <v/>
      </c>
      <c r="E39" s="7" t="inlineStr">
        <is>
          <t>kg/yr</t>
        </is>
      </c>
    </row>
    <row r="40">
      <c r="B40" s="5" t="inlineStr">
        <is>
          <t>Dry sludge</t>
        </is>
      </c>
      <c r="C40" s="28">
        <f>(SUM('Process Flow Mass Balance'!$AM$50:$AM$55)*'Cooling Tower &amp; Corrugated Fill'!$C$86+'Financial &amp; LCC Analysis'!$C$37/'Financial &amp; LCC Analysis'!$C$22*'Financial &amp; LCC Analysis'!$C$16)/907.185*'Financial &amp; LCC Analysis'!$C$22</f>
        <v/>
      </c>
      <c r="D40" s="28">
        <f>(SUM('Process Flow Mass Balance'!$AM$50:$AM$55)*'Cooling Tower &amp; Corrugated Fill'!$D$86+'Financial &amp; LCC Analysis'!$D$37/'Financial &amp; LCC Analysis'!$C$22*'Financial &amp; LCC Analysis'!$C$16)/907.185*'Financial &amp; LCC Analysis'!$C$22</f>
        <v/>
      </c>
      <c r="E40" s="7" t="inlineStr">
        <is>
          <t>dry t/yr</t>
        </is>
      </c>
    </row>
    <row r="41">
      <c r="B41" s="5" t="inlineStr">
        <is>
          <t>CO₂e</t>
        </is>
      </c>
      <c r="C41" s="13">
        <f>'Financial &amp; LCC Analysis'!$C$36*'Financial &amp; LCC Analysis'!$C$19/2204.6</f>
        <v/>
      </c>
      <c r="D41" s="13">
        <f>'Financial &amp; LCC Analysis'!$D$36*'Financial &amp; LCC Analysis'!$C$19/2204.6</f>
        <v/>
      </c>
      <c r="E41" s="7" t="inlineStr">
        <is>
          <t>t/yr</t>
        </is>
      </c>
    </row>
    <row r="43">
      <c r="B43" s="3" t="inlineStr">
        <is>
          <t>3. Annual operating cost (year 1)</t>
        </is>
      </c>
      <c r="C43" s="4" t="n"/>
      <c r="D43" s="4" t="n"/>
      <c r="E43" s="4" t="n"/>
      <c r="F43" s="4" t="n"/>
      <c r="G43" s="4" t="n"/>
    </row>
    <row r="44">
      <c r="B44" s="11" t="inlineStr">
        <is>
          <t>Cost item</t>
        </is>
      </c>
      <c r="C44" s="11" t="inlineStr">
        <is>
          <t>Current Baseline</t>
        </is>
      </c>
      <c r="D44" s="11" t="inlineStr">
        <is>
          <t>Corrugated Fill + High CoC</t>
        </is>
      </c>
      <c r="E44" s="11" t="inlineStr">
        <is>
          <t>Unit</t>
        </is>
      </c>
      <c r="F44" s="11" t="inlineStr"/>
    </row>
    <row r="45">
      <c r="B45" s="5" t="inlineStr">
        <is>
          <t>Water purchase</t>
        </is>
      </c>
      <c r="C45" s="15">
        <f>IF('Source Library'!$J$29=1,'Financial &amp; LCC Analysis'!$C$34/1000*'Financial &amp; LCC Analysis'!$C$7,0)</f>
        <v/>
      </c>
      <c r="D45" s="15">
        <f>IF('Source Library'!$J$29=1,'Financial &amp; LCC Analysis'!$D$34/1000*'Financial &amp; LCC Analysis'!$C$7,0)</f>
        <v/>
      </c>
      <c r="E45" s="7" t="inlineStr">
        <is>
          <t>$/yr</t>
        </is>
      </c>
    </row>
    <row r="46">
      <c r="B46" s="5" t="inlineStr">
        <is>
          <t>Sewer</t>
        </is>
      </c>
      <c r="C46" s="15">
        <f>IF('Financial &amp; LCC Analysis'!$C$10=1,'Financial &amp; LCC Analysis'!$C$35,'Financial &amp; LCC Analysis'!$C$34)/1000*'Financial &amp; LCC Analysis'!$C$9</f>
        <v/>
      </c>
      <c r="D46" s="15">
        <f>IF('Financial &amp; LCC Analysis'!$C$10=1,'Financial &amp; LCC Analysis'!$D$35,'Financial &amp; LCC Analysis'!$D$34)/1000*'Financial &amp; LCC Analysis'!$C$9</f>
        <v/>
      </c>
      <c r="E46" s="7" t="inlineStr">
        <is>
          <t>$/yr</t>
        </is>
      </c>
    </row>
    <row r="47">
      <c r="B47" s="5" t="inlineStr">
        <is>
          <t>Electricity</t>
        </is>
      </c>
      <c r="C47" s="15">
        <f>'Financial &amp; LCC Analysis'!$C$36*'Financial &amp; LCC Analysis'!$C$11</f>
        <v/>
      </c>
      <c r="D47" s="15">
        <f>'Financial &amp; LCC Analysis'!$D$36*'Financial &amp; LCC Analysis'!$C$11</f>
        <v/>
      </c>
      <c r="E47" s="7" t="inlineStr">
        <is>
          <t>$/yr</t>
        </is>
      </c>
    </row>
    <row r="48">
      <c r="B48" s="5" t="inlineStr">
        <is>
          <t>Chemicals</t>
        </is>
      </c>
      <c r="C48" s="15">
        <f>'Financial &amp; LCC Analysis'!$C$37*'Financial &amp; LCC Analysis'!$C$13+'Financial &amp; LCC Analysis'!$C$38*'Financial &amp; LCC Analysis'!$C$12+'Financial &amp; LCC Analysis'!$C$39*'Financial &amp; LCC Analysis'!$C$14</f>
        <v/>
      </c>
      <c r="D48" s="15">
        <f>'Financial &amp; LCC Analysis'!$D$37*'Financial &amp; LCC Analysis'!$C$13+'Financial &amp; LCC Analysis'!$D$38*'Financial &amp; LCC Analysis'!$C$12+'Financial &amp; LCC Analysis'!$D$39*'Financial &amp; LCC Analysis'!$C$14</f>
        <v/>
      </c>
      <c r="E48" s="7" t="inlineStr">
        <is>
          <t>$/yr</t>
        </is>
      </c>
    </row>
    <row r="49">
      <c r="B49" s="5" t="inlineStr">
        <is>
          <t>Sludge disposal</t>
        </is>
      </c>
      <c r="C49" s="15">
        <f>'Financial &amp; LCC Analysis'!$C$40*'Financial &amp; LCC Analysis'!$C$15</f>
        <v/>
      </c>
      <c r="D49" s="15">
        <f>'Financial &amp; LCC Analysis'!$D$40*'Financial &amp; LCC Analysis'!$C$15</f>
        <v/>
      </c>
      <c r="E49" s="7" t="inlineStr">
        <is>
          <t>$/yr</t>
        </is>
      </c>
    </row>
    <row r="50">
      <c r="B50" s="5" t="inlineStr">
        <is>
          <t>Carbon (social cost)</t>
        </is>
      </c>
      <c r="C50" s="15">
        <f>'Financial &amp; LCC Analysis'!$C$41*'Financial &amp; LCC Analysis'!$C$20</f>
        <v/>
      </c>
      <c r="D50" s="15">
        <f>'Financial &amp; LCC Analysis'!$D$41*'Financial &amp; LCC Analysis'!$C$20</f>
        <v/>
      </c>
      <c r="E50" s="7" t="inlineStr">
        <is>
          <t>$/yr</t>
        </is>
      </c>
    </row>
    <row r="51">
      <c r="B51" s="5" t="inlineStr">
        <is>
          <t>TOTAL</t>
        </is>
      </c>
      <c r="C51" s="15">
        <f>SUM('Financial &amp; LCC Analysis'!$C$45,'Financial &amp; LCC Analysis'!$C$46,'Financial &amp; LCC Analysis'!$C$47,'Financial &amp; LCC Analysis'!$C$48,'Financial &amp; LCC Analysis'!$C$49,'Financial &amp; LCC Analysis'!$C$50)</f>
        <v/>
      </c>
      <c r="D51" s="15">
        <f>SUM('Financial &amp; LCC Analysis'!$D$45,'Financial &amp; LCC Analysis'!$D$46,'Financial &amp; LCC Analysis'!$D$47,'Financial &amp; LCC Analysis'!$D$48,'Financial &amp; LCC Analysis'!$D$49,'Financial &amp; LCC Analysis'!$D$50)</f>
        <v/>
      </c>
      <c r="E51" s="7" t="inlineStr">
        <is>
          <t>$/yr</t>
        </is>
      </c>
    </row>
    <row r="52">
      <c r="B52" s="5" t="inlineStr">
        <is>
          <t>Year-1 net operating savings (Baseline − Optimized)</t>
        </is>
      </c>
      <c r="C52" s="15">
        <f>'Financial &amp; LCC Analysis'!$C$51-'Financial &amp; LCC Analysis'!$D$51</f>
        <v/>
      </c>
      <c r="D52" s="7" t="inlineStr">
        <is>
          <t>$/yr</t>
        </is>
      </c>
    </row>
    <row r="54">
      <c r="B54" s="3" t="inlineStr">
        <is>
          <t>4. Upgrade capital cost</t>
        </is>
      </c>
      <c r="C54" s="4" t="n"/>
      <c r="D54" s="4" t="n"/>
      <c r="E54" s="4" t="n"/>
      <c r="F54" s="4" t="n"/>
      <c r="G54" s="4" t="n"/>
    </row>
    <row r="55">
      <c r="B55" s="5" t="inlineStr">
        <is>
          <t>Corrugated fill = area × height × $/m³</t>
        </is>
      </c>
      <c r="C55" s="15">
        <f>'Pumping &amp; Fan Hydraulics'!$D$17*'Cooling Tower &amp; Corrugated Fill'!$D$37*'Financial &amp; LCC Analysis'!$C$27</f>
        <v/>
      </c>
      <c r="D55" s="7" t="inlineStr">
        <is>
          <t>$</t>
        </is>
      </c>
    </row>
    <row r="56">
      <c r="B56" s="5" t="inlineStr">
        <is>
          <t>HE drift eliminators = area × $/m²</t>
        </is>
      </c>
      <c r="C56" s="15">
        <f>'Pumping &amp; Fan Hydraulics'!$D$17*'Financial &amp; LCC Analysis'!$C$28</f>
        <v/>
      </c>
      <c r="D56" s="7" t="inlineStr">
        <is>
          <t>$</t>
        </is>
      </c>
    </row>
    <row r="57">
      <c r="B57" s="5" t="inlineStr">
        <is>
          <t>Blowdown-recovery RO</t>
        </is>
      </c>
      <c r="C57" s="15">
        <f>IF(AND('Dashboard'!$D$16=1,'Dashboard'!$C$16=0),'Cooling Tower &amp; Corrugated Fill'!$D$80*'Financial &amp; LCC Analysis'!$C$29,0)</f>
        <v/>
      </c>
      <c r="D57" s="7" t="inlineStr">
        <is>
          <t>$</t>
        </is>
      </c>
    </row>
    <row r="58">
      <c r="B58" s="5" t="inlineStr">
        <is>
          <t>Installation</t>
        </is>
      </c>
      <c r="C58" s="15">
        <f>('Financial &amp; LCC Analysis'!$C$55+'Financial &amp; LCC Analysis'!$C$56+'Financial &amp; LCC Analysis'!$C$57)*('Financial &amp; LCC Analysis'!$C$30-1)</f>
        <v/>
      </c>
      <c r="D58" s="7" t="inlineStr">
        <is>
          <t>$</t>
        </is>
      </c>
    </row>
    <row r="59">
      <c r="B59" s="5" t="inlineStr">
        <is>
          <t>TOTAL CapEx</t>
        </is>
      </c>
      <c r="C59" s="15">
        <f>'Financial &amp; LCC Analysis'!$C$55+'Financial &amp; LCC Analysis'!$C$56+'Financial &amp; LCC Analysis'!$C$57+'Financial &amp; LCC Analysis'!$C$58</f>
        <v/>
      </c>
      <c r="D59" s="7" t="inlineStr">
        <is>
          <t>$</t>
        </is>
      </c>
    </row>
    <row r="61">
      <c r="B61" s="3" t="inlineStr">
        <is>
          <t>5. 10-year discounted cash flow</t>
        </is>
      </c>
      <c r="C61" s="4" t="n"/>
      <c r="D61" s="4" t="n"/>
      <c r="E61" s="4" t="n"/>
      <c r="F61" s="4" t="n"/>
      <c r="G61" s="4" t="n"/>
      <c r="H61" s="4" t="n"/>
    </row>
    <row r="62">
      <c r="B62" s="11" t="inlineStr">
        <is>
          <t>Year t</t>
        </is>
      </c>
      <c r="C62" s="11" t="inlineStr">
        <is>
          <t>Cash flow CF_t</t>
        </is>
      </c>
      <c r="D62" s="11" t="inlineStr">
        <is>
          <t>Discount factor 1/(1+i)^t</t>
        </is>
      </c>
      <c r="E62" s="11" t="inlineStr">
        <is>
          <t>PV = CF/(1+i)^t</t>
        </is>
      </c>
      <c r="F62" s="11" t="inlineStr">
        <is>
          <t>Cumulative PV</t>
        </is>
      </c>
    </row>
    <row r="63">
      <c r="B63" s="5" t="n">
        <v>0</v>
      </c>
      <c r="C63" s="15">
        <f>-'Financial &amp; LCC Analysis'!$C$59</f>
        <v/>
      </c>
      <c r="D63" s="22" t="n">
        <v>1</v>
      </c>
      <c r="E63" s="15">
        <f>C63*D63</f>
        <v/>
      </c>
      <c r="F63" s="15">
        <f>E63</f>
        <v/>
      </c>
    </row>
    <row r="64">
      <c r="B64" s="5" t="n">
        <v>1</v>
      </c>
      <c r="C64" s="15">
        <f>'Financial &amp; LCC Analysis'!$C$52*(1+'Financial &amp; LCC Analysis'!$C$26)^(B64-1)</f>
        <v/>
      </c>
      <c r="D64" s="22">
        <f>1/(1+'Financial &amp; LCC Analysis'!$C$25)^B64</f>
        <v/>
      </c>
      <c r="E64" s="15">
        <f>C64*D64</f>
        <v/>
      </c>
      <c r="F64" s="15">
        <f>F63+E64</f>
        <v/>
      </c>
    </row>
    <row r="65">
      <c r="B65" s="5" t="n">
        <v>2</v>
      </c>
      <c r="C65" s="15">
        <f>'Financial &amp; LCC Analysis'!$C$52*(1+'Financial &amp; LCC Analysis'!$C$26)^(B65-1)</f>
        <v/>
      </c>
      <c r="D65" s="22">
        <f>1/(1+'Financial &amp; LCC Analysis'!$C$25)^B65</f>
        <v/>
      </c>
      <c r="E65" s="15">
        <f>C65*D65</f>
        <v/>
      </c>
      <c r="F65" s="15">
        <f>F64+E65</f>
        <v/>
      </c>
    </row>
    <row r="66">
      <c r="B66" s="5" t="n">
        <v>3</v>
      </c>
      <c r="C66" s="15">
        <f>'Financial &amp; LCC Analysis'!$C$52*(1+'Financial &amp; LCC Analysis'!$C$26)^(B66-1)</f>
        <v/>
      </c>
      <c r="D66" s="22">
        <f>1/(1+'Financial &amp; LCC Analysis'!$C$25)^B66</f>
        <v/>
      </c>
      <c r="E66" s="15">
        <f>C66*D66</f>
        <v/>
      </c>
      <c r="F66" s="15">
        <f>F65+E66</f>
        <v/>
      </c>
    </row>
    <row r="67">
      <c r="B67" s="5" t="n">
        <v>4</v>
      </c>
      <c r="C67" s="15">
        <f>'Financial &amp; LCC Analysis'!$C$52*(1+'Financial &amp; LCC Analysis'!$C$26)^(B67-1)</f>
        <v/>
      </c>
      <c r="D67" s="22">
        <f>1/(1+'Financial &amp; LCC Analysis'!$C$25)^B67</f>
        <v/>
      </c>
      <c r="E67" s="15">
        <f>C67*D67</f>
        <v/>
      </c>
      <c r="F67" s="15">
        <f>F66+E67</f>
        <v/>
      </c>
    </row>
    <row r="68">
      <c r="B68" s="5" t="n">
        <v>5</v>
      </c>
      <c r="C68" s="15">
        <f>'Financial &amp; LCC Analysis'!$C$52*(1+'Financial &amp; LCC Analysis'!$C$26)^(B68-1)</f>
        <v/>
      </c>
      <c r="D68" s="22">
        <f>1/(1+'Financial &amp; LCC Analysis'!$C$25)^B68</f>
        <v/>
      </c>
      <c r="E68" s="15">
        <f>C68*D68</f>
        <v/>
      </c>
      <c r="F68" s="15">
        <f>F67+E68</f>
        <v/>
      </c>
    </row>
    <row r="69">
      <c r="B69" s="5" t="n">
        <v>6</v>
      </c>
      <c r="C69" s="15">
        <f>'Financial &amp; LCC Analysis'!$C$52*(1+'Financial &amp; LCC Analysis'!$C$26)^(B69-1)</f>
        <v/>
      </c>
      <c r="D69" s="22">
        <f>1/(1+'Financial &amp; LCC Analysis'!$C$25)^B69</f>
        <v/>
      </c>
      <c r="E69" s="15">
        <f>C69*D69</f>
        <v/>
      </c>
      <c r="F69" s="15">
        <f>F68+E69</f>
        <v/>
      </c>
    </row>
    <row r="70">
      <c r="B70" s="5" t="n">
        <v>7</v>
      </c>
      <c r="C70" s="15">
        <f>'Financial &amp; LCC Analysis'!$C$52*(1+'Financial &amp; LCC Analysis'!$C$26)^(B70-1)</f>
        <v/>
      </c>
      <c r="D70" s="22">
        <f>1/(1+'Financial &amp; LCC Analysis'!$C$25)^B70</f>
        <v/>
      </c>
      <c r="E70" s="15">
        <f>C70*D70</f>
        <v/>
      </c>
      <c r="F70" s="15">
        <f>F69+E70</f>
        <v/>
      </c>
    </row>
    <row r="71">
      <c r="B71" s="5" t="n">
        <v>8</v>
      </c>
      <c r="C71" s="15">
        <f>'Financial &amp; LCC Analysis'!$C$52*(1+'Financial &amp; LCC Analysis'!$C$26)^(B71-1)</f>
        <v/>
      </c>
      <c r="D71" s="22">
        <f>1/(1+'Financial &amp; LCC Analysis'!$C$25)^B71</f>
        <v/>
      </c>
      <c r="E71" s="15">
        <f>C71*D71</f>
        <v/>
      </c>
      <c r="F71" s="15">
        <f>F70+E71</f>
        <v/>
      </c>
    </row>
    <row r="72">
      <c r="B72" s="5" t="n">
        <v>9</v>
      </c>
      <c r="C72" s="15">
        <f>'Financial &amp; LCC Analysis'!$C$52*(1+'Financial &amp; LCC Analysis'!$C$26)^(B72-1)</f>
        <v/>
      </c>
      <c r="D72" s="22">
        <f>1/(1+'Financial &amp; LCC Analysis'!$C$25)^B72</f>
        <v/>
      </c>
      <c r="E72" s="15">
        <f>C72*D72</f>
        <v/>
      </c>
      <c r="F72" s="15">
        <f>F71+E72</f>
        <v/>
      </c>
    </row>
    <row r="73">
      <c r="B73" s="5" t="n">
        <v>10</v>
      </c>
      <c r="C73" s="15">
        <f>'Financial &amp; LCC Analysis'!$C$52*(1+'Financial &amp; LCC Analysis'!$C$26)^(B73-1)</f>
        <v/>
      </c>
      <c r="D73" s="22">
        <f>1/(1+'Financial &amp; LCC Analysis'!$C$25)^B73</f>
        <v/>
      </c>
      <c r="E73" s="15">
        <f>C73*D73</f>
        <v/>
      </c>
      <c r="F73" s="15">
        <f>F72+E73</f>
        <v/>
      </c>
    </row>
    <row r="75">
      <c r="B75" s="5" t="inlineStr">
        <is>
          <t>NPV = −CapEx + NPV(i, CF₁…CF_N)</t>
        </is>
      </c>
      <c r="C75" s="15">
        <f>C63+NPV('Financial &amp; LCC Analysis'!$C$25,C64:C73)</f>
        <v/>
      </c>
      <c r="D75" s="7" t="inlineStr">
        <is>
          <t>$</t>
        </is>
      </c>
    </row>
    <row r="76">
      <c r="B76" s="5" t="inlineStr">
        <is>
          <t>NPV check = Σ PV</t>
        </is>
      </c>
      <c r="C76" s="15">
        <f>SUM(E63:E73)</f>
        <v/>
      </c>
      <c r="D76" s="7" t="inlineStr">
        <is>
          <t>$</t>
        </is>
      </c>
    </row>
    <row r="77">
      <c r="B77" s="5" t="inlineStr">
        <is>
          <t>IRR</t>
        </is>
      </c>
      <c r="C77" s="18">
        <f>IFERROR(IRR(C63:C73),"n/a")</f>
        <v/>
      </c>
      <c r="D77" s="7" t="inlineStr">
        <is>
          <t>-</t>
        </is>
      </c>
    </row>
    <row r="78">
      <c r="B78" s="5" t="inlineStr">
        <is>
          <t>Discounted break-even year (BEP)</t>
        </is>
      </c>
      <c r="C78" s="12">
        <f>IF(COUNTIF(F64:F73,"&lt;0")=10,"&gt; horizon",COUNTIF(F64:F73,"&lt;0")+(-INDEX(F63:F73,COUNTIF(F64:F73,"&lt;0")+1))/(INDEX(F63:F73,COUNTIF(F64:F73,"&lt;0")+2)-INDEX(F63:F73,COUNTIF(F64:F73,"&lt;0")+1)))</f>
        <v/>
      </c>
      <c r="D78" s="7" t="inlineStr">
        <is>
          <t>years</t>
        </is>
      </c>
    </row>
    <row r="79">
      <c r="B79" s="5" t="inlineStr">
        <is>
          <t>Simple payback SPBT = CapEx / savings</t>
        </is>
      </c>
      <c r="C79" s="12">
        <f>IF('Financial &amp; LCC Analysis'!$C$52&gt;0,'Financial &amp; LCC Analysis'!$C$59/'Financial &amp; LCC Analysis'!$C$52,"n/a")</f>
        <v/>
      </c>
      <c r="D79" s="7" t="inlineStr">
        <is>
          <t>years</t>
        </is>
      </c>
    </row>
    <row r="80">
      <c r="B80" s="5" t="inlineStr">
        <is>
          <t>Investment decision</t>
        </is>
      </c>
      <c r="C80" s="17">
        <f>IF('Financial &amp; LCC Analysis'!$C$75&gt;0,"✅ Positive NPV — invest","❌ Negative NPV")</f>
        <v/>
      </c>
      <c r="D80" s="7" t="inlineStr"/>
    </row>
  </sheetData>
  <conditionalFormatting sqref="C80">
    <cfRule type="expression" priority="1" dxfId="0">
      <formula>ISNUMBER(SEARCH("❌",C80))</formula>
    </cfRule>
    <cfRule type="expression" priority="2" dxfId="1">
      <formula>ISNUMBER(SEARCH("✅",C80))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tabColor rgb="00BF9000"/>
    <outlinePr summaryBelow="1" summaryRight="1"/>
    <pageSetUpPr/>
  </sheetPr>
  <dimension ref="B1:K30"/>
  <sheetViews>
    <sheetView showGridLines="1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6" customWidth="1" min="10" max="10"/>
  </cols>
  <sheetData>
    <row r="1">
      <c r="B1" s="1" t="inlineStr">
        <is>
          <t>Source Library — Raw Water Quality Matrices</t>
        </is>
      </c>
    </row>
    <row r="2">
      <c r="B2" s="2" t="inlineStr">
        <is>
          <t>Edit any yellow cell; the Dashboard source selector pulls the matching column.</t>
        </is>
      </c>
    </row>
    <row r="5">
      <c r="B5" s="3" t="inlineStr">
        <is>
          <t>Baseline quality by source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</row>
    <row r="6">
      <c r="B6" s="11" t="inlineStr">
        <is>
          <t>Parameter</t>
        </is>
      </c>
      <c r="C6" s="11" t="inlineStr">
        <is>
          <t>Unit</t>
        </is>
      </c>
      <c r="D6" s="11" t="inlineStr">
        <is>
          <t>Municipal Potable</t>
        </is>
      </c>
      <c r="E6" s="11" t="inlineStr">
        <is>
          <t>Sea Water</t>
        </is>
      </c>
      <c r="F6" s="11" t="inlineStr">
        <is>
          <t>River Water</t>
        </is>
      </c>
      <c r="G6" s="11" t="inlineStr">
        <is>
          <t>Groundwater</t>
        </is>
      </c>
      <c r="H6" s="11" t="inlineStr">
        <is>
          <t>MBR Permeate / Wastewater Reuse</t>
        </is>
      </c>
      <c r="I6" s="11" t="inlineStr">
        <is>
          <t>Rainwater (roof harvest)</t>
        </is>
      </c>
      <c r="J6" s="11" t="inlineStr">
        <is>
          <t>Selected source</t>
        </is>
      </c>
    </row>
    <row r="7">
      <c r="B7" s="5" t="inlineStr">
        <is>
          <t>pH</t>
        </is>
      </c>
      <c r="C7" s="7" t="inlineStr">
        <is>
          <t>-</t>
        </is>
      </c>
      <c r="D7" s="21" t="n">
        <v>7.2</v>
      </c>
      <c r="E7" s="21" t="n">
        <v>8.1</v>
      </c>
      <c r="F7" s="21" t="n">
        <v>7.6</v>
      </c>
      <c r="G7" s="21" t="n">
        <v>7.3</v>
      </c>
      <c r="H7" s="21" t="n">
        <v>7</v>
      </c>
      <c r="I7" s="21" t="n">
        <v>6</v>
      </c>
      <c r="J7" s="12">
        <f>INDEX(D7:I7,MATCH('Dashboard'!$C$6,'Source Library'!$D$6:$I$6,0))</f>
        <v/>
      </c>
    </row>
    <row r="8">
      <c r="B8" s="5" t="inlineStr">
        <is>
          <t>EC</t>
        </is>
      </c>
      <c r="C8" s="7" t="inlineStr">
        <is>
          <t>µS/cm</t>
        </is>
      </c>
      <c r="D8" s="21" t="n">
        <v>110</v>
      </c>
      <c r="E8" s="21" t="n">
        <v>53000</v>
      </c>
      <c r="F8" s="21" t="n">
        <v>400</v>
      </c>
      <c r="G8" s="21" t="n">
        <v>700</v>
      </c>
      <c r="H8" s="21" t="n">
        <v>900</v>
      </c>
      <c r="I8" s="21" t="n">
        <v>20</v>
      </c>
      <c r="J8" s="12">
        <f>INDEX(D8:I8,MATCH('Dashboard'!$C$6,'Source Library'!$D$6:$I$6,0))</f>
        <v/>
      </c>
    </row>
    <row r="9">
      <c r="B9" s="5" t="inlineStr">
        <is>
          <t>TDS</t>
        </is>
      </c>
      <c r="C9" s="7" t="inlineStr">
        <is>
          <t>mg/L</t>
        </is>
      </c>
      <c r="D9" s="21" t="n">
        <v>65</v>
      </c>
      <c r="E9" s="21" t="n">
        <v>35000</v>
      </c>
      <c r="F9" s="21" t="n">
        <v>260</v>
      </c>
      <c r="G9" s="21" t="n">
        <v>455</v>
      </c>
      <c r="H9" s="21" t="n">
        <v>585</v>
      </c>
      <c r="I9" s="21" t="n">
        <v>13</v>
      </c>
      <c r="J9" s="12">
        <f>INDEX(D9:I9,MATCH('Dashboard'!$C$6,'Source Library'!$D$6:$I$6,0))</f>
        <v/>
      </c>
    </row>
    <row r="10">
      <c r="B10" s="5" t="inlineStr">
        <is>
          <t>SiO₂</t>
        </is>
      </c>
      <c r="C10" s="7" t="inlineStr">
        <is>
          <t>mg/L</t>
        </is>
      </c>
      <c r="D10" s="21" t="n">
        <v>3.5</v>
      </c>
      <c r="E10" s="21" t="n">
        <v>2</v>
      </c>
      <c r="F10" s="21" t="n">
        <v>12</v>
      </c>
      <c r="G10" s="21" t="n">
        <v>30</v>
      </c>
      <c r="H10" s="21" t="n">
        <v>20</v>
      </c>
      <c r="I10" s="21" t="n">
        <v>0.5</v>
      </c>
      <c r="J10" s="12">
        <f>INDEX(D10:I10,MATCH('Dashboard'!$C$6,'Source Library'!$D$6:$I$6,0))</f>
        <v/>
      </c>
    </row>
    <row r="11">
      <c r="B11" s="5" t="inlineStr">
        <is>
          <t>Na⁺</t>
        </is>
      </c>
      <c r="C11" s="7" t="inlineStr">
        <is>
          <t>mg/L</t>
        </is>
      </c>
      <c r="D11" s="21" t="n">
        <v>10</v>
      </c>
      <c r="E11" s="21" t="n">
        <v>10770</v>
      </c>
      <c r="F11" s="21" t="n">
        <v>20</v>
      </c>
      <c r="G11" s="21" t="n">
        <v>40</v>
      </c>
      <c r="H11" s="21" t="n">
        <v>90</v>
      </c>
      <c r="I11" s="21" t="n">
        <v>1</v>
      </c>
      <c r="J11" s="12">
        <f>INDEX(D11:I11,MATCH('Dashboard'!$C$6,'Source Library'!$D$6:$I$6,0))</f>
        <v/>
      </c>
    </row>
    <row r="12">
      <c r="B12" s="5" t="inlineStr">
        <is>
          <t>Ca²⁺</t>
        </is>
      </c>
      <c r="C12" s="7" t="inlineStr">
        <is>
          <t>mg/L</t>
        </is>
      </c>
      <c r="D12" s="21" t="n">
        <v>7</v>
      </c>
      <c r="E12" s="21" t="n">
        <v>412</v>
      </c>
      <c r="F12" s="21" t="n">
        <v>40</v>
      </c>
      <c r="G12" s="21" t="n">
        <v>90</v>
      </c>
      <c r="H12" s="21" t="n">
        <v>50</v>
      </c>
      <c r="I12" s="21" t="n">
        <v>1</v>
      </c>
      <c r="J12" s="12">
        <f>INDEX(D12:I12,MATCH('Dashboard'!$C$6,'Source Library'!$D$6:$I$6,0))</f>
        <v/>
      </c>
    </row>
    <row r="13">
      <c r="B13" s="5" t="inlineStr">
        <is>
          <t>Mg²⁺</t>
        </is>
      </c>
      <c r="C13" s="7" t="inlineStr">
        <is>
          <t>mg/L</t>
        </is>
      </c>
      <c r="D13" s="21" t="n">
        <v>1.5</v>
      </c>
      <c r="E13" s="21" t="n">
        <v>1290</v>
      </c>
      <c r="F13" s="21" t="n">
        <v>10</v>
      </c>
      <c r="G13" s="21" t="n">
        <v>25</v>
      </c>
      <c r="H13" s="21" t="n">
        <v>15</v>
      </c>
      <c r="I13" s="21" t="n">
        <v>0.3</v>
      </c>
      <c r="J13" s="12">
        <f>INDEX(D13:I13,MATCH('Dashboard'!$C$6,'Source Library'!$D$6:$I$6,0))</f>
        <v/>
      </c>
    </row>
    <row r="14">
      <c r="B14" s="5" t="inlineStr">
        <is>
          <t>Cl⁻</t>
        </is>
      </c>
      <c r="C14" s="7" t="inlineStr">
        <is>
          <t>mg/L</t>
        </is>
      </c>
      <c r="D14" s="21" t="n">
        <v>15</v>
      </c>
      <c r="E14" s="21" t="n">
        <v>19350</v>
      </c>
      <c r="F14" s="21" t="n">
        <v>25</v>
      </c>
      <c r="G14" s="21" t="n">
        <v>50</v>
      </c>
      <c r="H14" s="21" t="n">
        <v>110</v>
      </c>
      <c r="I14" s="21" t="n">
        <v>2</v>
      </c>
      <c r="J14" s="12">
        <f>INDEX(D14:I14,MATCH('Dashboard'!$C$6,'Source Library'!$D$6:$I$6,0))</f>
        <v/>
      </c>
    </row>
    <row r="15">
      <c r="B15" s="5" t="inlineStr">
        <is>
          <t>PO₄³⁻</t>
        </is>
      </c>
      <c r="C15" s="7" t="inlineStr">
        <is>
          <t>mg/L</t>
        </is>
      </c>
      <c r="D15" s="21" t="n">
        <v>2</v>
      </c>
      <c r="E15" s="21" t="n">
        <v>0.1</v>
      </c>
      <c r="F15" s="21" t="n">
        <v>0.3</v>
      </c>
      <c r="G15" s="21" t="n">
        <v>0.1</v>
      </c>
      <c r="H15" s="21" t="n">
        <v>4</v>
      </c>
      <c r="I15" s="21" t="n">
        <v>0.05</v>
      </c>
      <c r="J15" s="12">
        <f>INDEX(D15:I15,MATCH('Dashboard'!$C$6,'Source Library'!$D$6:$I$6,0))</f>
        <v/>
      </c>
    </row>
    <row r="16">
      <c r="B16" s="5" t="inlineStr">
        <is>
          <t>SO₄²⁻</t>
        </is>
      </c>
      <c r="C16" s="7" t="inlineStr">
        <is>
          <t>mg/L</t>
        </is>
      </c>
      <c r="D16" s="21" t="n">
        <v>6</v>
      </c>
      <c r="E16" s="21" t="n">
        <v>2710</v>
      </c>
      <c r="F16" s="21" t="n">
        <v>40</v>
      </c>
      <c r="G16" s="21" t="n">
        <v>60</v>
      </c>
      <c r="H16" s="21" t="n">
        <v>70</v>
      </c>
      <c r="I16" s="21" t="n">
        <v>2</v>
      </c>
      <c r="J16" s="12">
        <f>INDEX(D16:I16,MATCH('Dashboard'!$C$6,'Source Library'!$D$6:$I$6,0))</f>
        <v/>
      </c>
    </row>
    <row r="17">
      <c r="B17" s="5" t="inlineStr">
        <is>
          <t>Alk (CaCO₃)</t>
        </is>
      </c>
      <c r="C17" s="7" t="inlineStr">
        <is>
          <t>mg/L</t>
        </is>
      </c>
      <c r="D17" s="21" t="n">
        <v>15</v>
      </c>
      <c r="E17" s="21" t="n">
        <v>116</v>
      </c>
      <c r="F17" s="21" t="n">
        <v>110</v>
      </c>
      <c r="G17" s="21" t="n">
        <v>250</v>
      </c>
      <c r="H17" s="21" t="n">
        <v>120</v>
      </c>
      <c r="I17" s="21" t="n">
        <v>5</v>
      </c>
      <c r="J17" s="12">
        <f>INDEX(D17:I17,MATCH('Dashboard'!$C$6,'Source Library'!$D$6:$I$6,0))</f>
        <v/>
      </c>
    </row>
    <row r="18">
      <c r="B18" s="5" t="inlineStr">
        <is>
          <t>Free Cl₂</t>
        </is>
      </c>
      <c r="C18" s="7" t="inlineStr">
        <is>
          <t>mg/L</t>
        </is>
      </c>
      <c r="D18" s="21" t="n">
        <v>0.7</v>
      </c>
      <c r="E18" s="21" t="n">
        <v>0</v>
      </c>
      <c r="F18" s="21" t="n">
        <v>0</v>
      </c>
      <c r="G18" s="21" t="n">
        <v>0</v>
      </c>
      <c r="H18" s="21" t="n">
        <v>0</v>
      </c>
      <c r="I18" s="21" t="n">
        <v>0</v>
      </c>
      <c r="J18" s="12">
        <f>INDEX(D18:I18,MATCH('Dashboard'!$C$6,'Source Library'!$D$6:$I$6,0))</f>
        <v/>
      </c>
    </row>
    <row r="19">
      <c r="B19" s="5" t="inlineStr">
        <is>
          <t>TSS</t>
        </is>
      </c>
      <c r="C19" s="7" t="inlineStr">
        <is>
          <t>mg/L</t>
        </is>
      </c>
      <c r="D19" s="21" t="n">
        <v>0.5</v>
      </c>
      <c r="E19" s="21" t="n">
        <v>20</v>
      </c>
      <c r="F19" s="21" t="n">
        <v>50</v>
      </c>
      <c r="G19" s="21" t="n">
        <v>2</v>
      </c>
      <c r="H19" s="21" t="n">
        <v>1</v>
      </c>
      <c r="I19" s="21" t="n">
        <v>10</v>
      </c>
      <c r="J19" s="12">
        <f>INDEX(D19:I19,MATCH('Dashboard'!$C$6,'Source Library'!$D$6:$I$6,0))</f>
        <v/>
      </c>
    </row>
    <row r="20">
      <c r="B20" s="5" t="inlineStr">
        <is>
          <t>BOD₅</t>
        </is>
      </c>
      <c r="C20" s="7" t="inlineStr">
        <is>
          <t>mg/L</t>
        </is>
      </c>
      <c r="D20" s="21" t="n">
        <v>0.5</v>
      </c>
      <c r="E20" s="21" t="n">
        <v>3</v>
      </c>
      <c r="F20" s="21" t="n">
        <v>4</v>
      </c>
      <c r="G20" s="21" t="n">
        <v>1</v>
      </c>
      <c r="H20" s="21" t="n">
        <v>3</v>
      </c>
      <c r="I20" s="21" t="n">
        <v>2</v>
      </c>
      <c r="J20" s="12">
        <f>INDEX(D20:I20,MATCH('Dashboard'!$C$6,'Source Library'!$D$6:$I$6,0))</f>
        <v/>
      </c>
    </row>
    <row r="21">
      <c r="B21" s="5" t="inlineStr">
        <is>
          <t>COD</t>
        </is>
      </c>
      <c r="C21" s="7" t="inlineStr">
        <is>
          <t>mg/L</t>
        </is>
      </c>
      <c r="D21" s="21" t="n">
        <v>2</v>
      </c>
      <c r="E21" s="21" t="n">
        <v>10</v>
      </c>
      <c r="F21" s="21" t="n">
        <v>15</v>
      </c>
      <c r="G21" s="21" t="n">
        <v>3</v>
      </c>
      <c r="H21" s="21" t="n">
        <v>25</v>
      </c>
      <c r="I21" s="21" t="n">
        <v>10</v>
      </c>
      <c r="J21" s="12">
        <f>INDEX(D21:I21,MATCH('Dashboard'!$C$6,'Source Library'!$D$6:$I$6,0))</f>
        <v/>
      </c>
    </row>
    <row r="22">
      <c r="B22" s="5" t="inlineStr">
        <is>
          <t>Rotavirus</t>
        </is>
      </c>
      <c r="C22" s="7" t="inlineStr">
        <is>
          <t>org/L</t>
        </is>
      </c>
      <c r="D22" s="29" t="n">
        <v>0</v>
      </c>
      <c r="E22" s="29" t="n">
        <v>10</v>
      </c>
      <c r="F22" s="29" t="n">
        <v>50</v>
      </c>
      <c r="G22" s="29" t="n">
        <v>0.1</v>
      </c>
      <c r="H22" s="29" t="n">
        <v>500</v>
      </c>
      <c r="I22" s="29" t="n">
        <v>1</v>
      </c>
      <c r="J22" s="16">
        <f>INDEX(D22:I22,MATCH('Dashboard'!$C$6,'Source Library'!$D$6:$I$6,0))</f>
        <v/>
      </c>
    </row>
    <row r="23">
      <c r="B23" s="5" t="inlineStr">
        <is>
          <t>Giardia</t>
        </is>
      </c>
      <c r="C23" s="7" t="inlineStr">
        <is>
          <t>cysts/L</t>
        </is>
      </c>
      <c r="D23" s="29" t="n">
        <v>0</v>
      </c>
      <c r="E23" s="29" t="n">
        <v>1</v>
      </c>
      <c r="F23" s="29" t="n">
        <v>10</v>
      </c>
      <c r="G23" s="29" t="n">
        <v>0.01</v>
      </c>
      <c r="H23" s="29" t="n">
        <v>0.1</v>
      </c>
      <c r="I23" s="29" t="n">
        <v>0.5</v>
      </c>
      <c r="J23" s="16">
        <f>INDEX(D23:I23,MATCH('Dashboard'!$C$6,'Source Library'!$D$6:$I$6,0))</f>
        <v/>
      </c>
    </row>
    <row r="24">
      <c r="B24" s="5" t="inlineStr">
        <is>
          <t>Cryptosporidium</t>
        </is>
      </c>
      <c r="C24" s="7" t="inlineStr">
        <is>
          <t>oocysts/L</t>
        </is>
      </c>
      <c r="D24" s="29" t="n">
        <v>0</v>
      </c>
      <c r="E24" s="29" t="n">
        <v>1</v>
      </c>
      <c r="F24" s="29" t="n">
        <v>5</v>
      </c>
      <c r="G24" s="29" t="n">
        <v>0.01</v>
      </c>
      <c r="H24" s="29" t="n">
        <v>0.1</v>
      </c>
      <c r="I24" s="29" t="n">
        <v>0.5</v>
      </c>
      <c r="J24" s="16">
        <f>INDEX(D24:I24,MATCH('Dashboard'!$C$6,'Source Library'!$D$6:$I$6,0))</f>
        <v/>
      </c>
    </row>
    <row r="25">
      <c r="B25" s="5" t="inlineStr">
        <is>
          <t>Vibrio cholerae</t>
        </is>
      </c>
      <c r="C25" s="7" t="inlineStr">
        <is>
          <t>CFU/L</t>
        </is>
      </c>
      <c r="D25" s="29" t="n">
        <v>0</v>
      </c>
      <c r="E25" s="29" t="n">
        <v>100</v>
      </c>
      <c r="F25" s="29" t="n">
        <v>10</v>
      </c>
      <c r="G25" s="29" t="n">
        <v>0</v>
      </c>
      <c r="H25" s="29" t="n">
        <v>1</v>
      </c>
      <c r="I25" s="29" t="n">
        <v>0</v>
      </c>
      <c r="J25" s="16">
        <f>INDEX(D25:I25,MATCH('Dashboard'!$C$6,'Source Library'!$D$6:$I$6,0))</f>
        <v/>
      </c>
    </row>
    <row r="26">
      <c r="B26" s="5" t="inlineStr">
        <is>
          <t>E. coli</t>
        </is>
      </c>
      <c r="C26" s="7" t="inlineStr">
        <is>
          <t>CFU/100 mL</t>
        </is>
      </c>
      <c r="D26" s="29" t="n">
        <v>0</v>
      </c>
      <c r="E26" s="29" t="n">
        <v>100</v>
      </c>
      <c r="F26" s="29" t="n">
        <v>1000</v>
      </c>
      <c r="G26" s="29" t="n">
        <v>1</v>
      </c>
      <c r="H26" s="29" t="n">
        <v>10</v>
      </c>
      <c r="I26" s="29" t="n">
        <v>50</v>
      </c>
      <c r="J26" s="16">
        <f>INDEX(D26:I26,MATCH('Dashboard'!$C$6,'Source Library'!$D$6:$I$6,0))</f>
        <v/>
      </c>
    </row>
    <row r="27">
      <c r="B27" s="5" t="inlineStr">
        <is>
          <t>HPC</t>
        </is>
      </c>
      <c r="C27" s="7" t="inlineStr">
        <is>
          <t>CFU/mL</t>
        </is>
      </c>
      <c r="D27" s="29" t="n">
        <v>50</v>
      </c>
      <c r="E27" s="29" t="n">
        <v>1000</v>
      </c>
      <c r="F27" s="29" t="n">
        <v>5000</v>
      </c>
      <c r="G27" s="29" t="n">
        <v>100</v>
      </c>
      <c r="H27" s="29" t="n">
        <v>1000</v>
      </c>
      <c r="I27" s="29" t="n">
        <v>500</v>
      </c>
      <c r="J27" s="16">
        <f>INDEX(D27:I27,MATCH('Dashboard'!$C$6,'Source Library'!$D$6:$I$6,0))</f>
        <v/>
      </c>
    </row>
    <row r="28">
      <c r="B28" s="5" t="inlineStr">
        <is>
          <t>Legionella pneumophila</t>
        </is>
      </c>
      <c r="C28" s="7" t="inlineStr">
        <is>
          <t>CFU/L</t>
        </is>
      </c>
      <c r="D28" s="29" t="n">
        <v>1</v>
      </c>
      <c r="E28" s="29" t="n">
        <v>10</v>
      </c>
      <c r="F28" s="29" t="n">
        <v>100</v>
      </c>
      <c r="G28" s="29" t="n">
        <v>10</v>
      </c>
      <c r="H28" s="29" t="n">
        <v>100</v>
      </c>
      <c r="I28" s="29" t="n">
        <v>10</v>
      </c>
      <c r="J28" s="16">
        <f>INDEX(D28:I28,MATCH('Dashboard'!$C$6,'Source Library'!$D$6:$I$6,0))</f>
        <v/>
      </c>
    </row>
    <row r="29">
      <c r="B29" s="5" t="inlineStr">
        <is>
          <t>Purchased (utility tariff) 1/0</t>
        </is>
      </c>
      <c r="C29" s="7" t="inlineStr">
        <is>
          <t>-</t>
        </is>
      </c>
      <c r="D29" s="21" t="n">
        <v>1</v>
      </c>
      <c r="E29" s="21" t="n">
        <v>0</v>
      </c>
      <c r="F29" s="21" t="n">
        <v>0</v>
      </c>
      <c r="G29" s="21" t="n">
        <v>0</v>
      </c>
      <c r="H29" s="21" t="n">
        <v>0</v>
      </c>
      <c r="I29" s="21" t="n">
        <v>0</v>
      </c>
      <c r="J29" s="12">
        <f>INDEX(D29:I29,MATCH('Dashboard'!$C$6,'Source Library'!$D$6:$I$6,0))</f>
        <v/>
      </c>
    </row>
    <row r="30">
      <c r="B30" s="5" t="inlineStr">
        <is>
          <t>Recycled non-potable (LEED) 1/0</t>
        </is>
      </c>
      <c r="C30" s="7" t="inlineStr">
        <is>
          <t>-</t>
        </is>
      </c>
      <c r="D30" s="21" t="n">
        <v>0</v>
      </c>
      <c r="E30" s="21" t="n">
        <v>0</v>
      </c>
      <c r="F30" s="21" t="n">
        <v>0</v>
      </c>
      <c r="G30" s="21" t="n">
        <v>0</v>
      </c>
      <c r="H30" s="21" t="n">
        <v>1</v>
      </c>
      <c r="I30" s="21" t="n">
        <v>1</v>
      </c>
      <c r="J30" s="12">
        <f>INDEX(D30:I30,MATCH('Dashboard'!$C$6,'Source Library'!$D$6:$I$6,0))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BF9000"/>
    <outlinePr summaryBelow="1" summaryRight="1"/>
    <pageSetUpPr/>
  </sheetPr>
  <dimension ref="B1:H406"/>
  <sheetViews>
    <sheetView showGridLines="1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4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6" customWidth="1" min="8" max="8"/>
  </cols>
  <sheetData>
    <row r="1">
      <c r="B1" s="1" t="inlineStr">
        <is>
          <t>Merkel Solver — required tower characteristic KaV/L vs cold-water temperature</t>
        </is>
      </c>
    </row>
    <row r="2">
      <c r="B2" s="2" t="inlineStr">
        <is>
          <t>KaV/L = Range/4 · Σ 1/(h_sat(T_i) − h_air,i), T_i = T_cold + {0.1,0.4,0.6,0.9}·Range (Chebyshev)</t>
        </is>
      </c>
    </row>
    <row r="4">
      <c r="B4" s="5" t="inlineStr">
        <is>
          <t>Inlet air enthalpy h_sat(T_wb)</t>
        </is>
      </c>
      <c r="C4" s="14">
        <f>(0.24*('Dashboard'!$C$9)+0.62198*(0.61094*EXP(17.625*(('Dashboard'!$C$9)-32)/1.8/((('Dashboard'!$C$9)-32)/1.8+243.04)))/('Cooling Tower &amp; Corrugated Fill'!$C$14-(0.61094*EXP(17.625*(('Dashboard'!$C$9)-32)/1.8/((('Dashboard'!$C$9)-32)/1.8+243.04))))*(1061+0.444*('Dashboard'!$C$9)))</f>
        <v/>
      </c>
      <c r="D4" s="7" t="inlineStr">
        <is>
          <t>BTU/lb</t>
        </is>
      </c>
    </row>
    <row r="6">
      <c r="B6" s="11" t="inlineStr">
        <is>
          <t>Approach (°F)</t>
        </is>
      </c>
      <c r="C6" s="11" t="inlineStr">
        <is>
          <t>T_cold (°F)</t>
        </is>
      </c>
      <c r="D6" s="11" t="inlineStr">
        <is>
          <t>Δh @0.1R</t>
        </is>
      </c>
      <c r="E6" s="11" t="inlineStr">
        <is>
          <t>Δh @0.4R</t>
        </is>
      </c>
      <c r="F6" s="11" t="inlineStr">
        <is>
          <t>Δh @0.6R</t>
        </is>
      </c>
      <c r="G6" s="11" t="inlineStr">
        <is>
          <t>Δh @0.9R</t>
        </is>
      </c>
      <c r="H6" s="11" t="inlineStr">
        <is>
          <t>Required KaV/L</t>
        </is>
      </c>
    </row>
    <row r="7">
      <c r="B7" s="30" t="n">
        <v>0.1</v>
      </c>
      <c r="C7" s="12">
        <f>'Dashboard'!$C$9+B7</f>
        <v/>
      </c>
      <c r="D7" s="14">
        <f>(0.24*((C7+0.1*'Cooling Tower &amp; Corrugated Fill'!$C$12))+0.62198*(0.61094*EXP(17.625*(((C7+0.1*'Cooling Tower &amp; Corrugated Fill'!$C$12))-32)/1.8/((((C7+0.1*'Cooling Tower &amp; Corrugated Fill'!$C$12))-32)/1.8+243.04)))/('Cooling Tower &amp; Corrugated Fill'!$C$14-(0.61094*EXP(17.625*(((C7+0.1*'Cooling Tower &amp; Corrugated Fill'!$C$12))-32)/1.8/((((C7+0.1*'Cooling Tower &amp; Corrugated Fill'!$C$12))-32)/1.8+243.04))))*(1061+0.444*((C7+0.1*'Cooling Tower &amp; Corrugated Fill'!$C$12))))-('Merkel Solver'!$C$4+'Cooling Tower &amp; Corrugated Fill'!$C$13*0.1*'Cooling Tower &amp; Corrugated Fill'!$C$12)</f>
        <v/>
      </c>
      <c r="E7" s="14">
        <f>(0.24*((C7+0.4*'Cooling Tower &amp; Corrugated Fill'!$C$12))+0.62198*(0.61094*EXP(17.625*(((C7+0.4*'Cooling Tower &amp; Corrugated Fill'!$C$12))-32)/1.8/((((C7+0.4*'Cooling Tower &amp; Corrugated Fill'!$C$12))-32)/1.8+243.04)))/('Cooling Tower &amp; Corrugated Fill'!$C$14-(0.61094*EXP(17.625*(((C7+0.4*'Cooling Tower &amp; Corrugated Fill'!$C$12))-32)/1.8/((((C7+0.4*'Cooling Tower &amp; Corrugated Fill'!$C$12))-32)/1.8+243.04))))*(1061+0.444*((C7+0.4*'Cooling Tower &amp; Corrugated Fill'!$C$12))))-('Merkel Solver'!$C$4+'Cooling Tower &amp; Corrugated Fill'!$C$13*0.4*'Cooling Tower &amp; Corrugated Fill'!$C$12)</f>
        <v/>
      </c>
      <c r="F7" s="14">
        <f>(0.24*((C7+0.6*'Cooling Tower &amp; Corrugated Fill'!$C$12))+0.62198*(0.61094*EXP(17.625*(((C7+0.6*'Cooling Tower &amp; Corrugated Fill'!$C$12))-32)/1.8/((((C7+0.6*'Cooling Tower &amp; Corrugated Fill'!$C$12))-32)/1.8+243.04)))/('Cooling Tower &amp; Corrugated Fill'!$C$14-(0.61094*EXP(17.625*(((C7+0.6*'Cooling Tower &amp; Corrugated Fill'!$C$12))-32)/1.8/((((C7+0.6*'Cooling Tower &amp; Corrugated Fill'!$C$12))-32)/1.8+243.04))))*(1061+0.444*((C7+0.6*'Cooling Tower &amp; Corrugated Fill'!$C$12))))-('Merkel Solver'!$C$4+'Cooling Tower &amp; Corrugated Fill'!$C$13*0.6*'Cooling Tower &amp; Corrugated Fill'!$C$12)</f>
        <v/>
      </c>
      <c r="G7" s="14">
        <f>(0.24*((C7+0.9*'Cooling Tower &amp; Corrugated Fill'!$C$12))+0.62198*(0.61094*EXP(17.625*(((C7+0.9*'Cooling Tower &amp; Corrugated Fill'!$C$12))-32)/1.8/((((C7+0.9*'Cooling Tower &amp; Corrugated Fill'!$C$12))-32)/1.8+243.04)))/('Cooling Tower &amp; Corrugated Fill'!$C$14-(0.61094*EXP(17.625*(((C7+0.9*'Cooling Tower &amp; Corrugated Fill'!$C$12))-32)/1.8/((((C7+0.9*'Cooling Tower &amp; Corrugated Fill'!$C$12))-32)/1.8+243.04))))*(1061+0.444*((C7+0.9*'Cooling Tower &amp; Corrugated Fill'!$C$12))))-('Merkel Solver'!$C$4+'Cooling Tower &amp; Corrugated Fill'!$C$13*0.9*'Cooling Tower &amp; Corrugated Fill'!$C$12)</f>
        <v/>
      </c>
      <c r="H7" s="22">
        <f>IF(MIN(D7:G7)&lt;=0,99999,'Cooling Tower &amp; Corrugated Fill'!$C$12/4*(1/D7+1/E7+1/F7+1/G7))</f>
        <v/>
      </c>
    </row>
    <row r="8">
      <c r="B8" s="30" t="n">
        <v>0.2</v>
      </c>
      <c r="C8" s="12">
        <f>'Dashboard'!$C$9+B8</f>
        <v/>
      </c>
      <c r="D8" s="14">
        <f>(0.24*((C8+0.1*'Cooling Tower &amp; Corrugated Fill'!$C$12))+0.62198*(0.61094*EXP(17.625*(((C8+0.1*'Cooling Tower &amp; Corrugated Fill'!$C$12))-32)/1.8/((((C8+0.1*'Cooling Tower &amp; Corrugated Fill'!$C$12))-32)/1.8+243.04)))/('Cooling Tower &amp; Corrugated Fill'!$C$14-(0.61094*EXP(17.625*(((C8+0.1*'Cooling Tower &amp; Corrugated Fill'!$C$12))-32)/1.8/((((C8+0.1*'Cooling Tower &amp; Corrugated Fill'!$C$12))-32)/1.8+243.04))))*(1061+0.444*((C8+0.1*'Cooling Tower &amp; Corrugated Fill'!$C$12))))-('Merkel Solver'!$C$4+'Cooling Tower &amp; Corrugated Fill'!$C$13*0.1*'Cooling Tower &amp; Corrugated Fill'!$C$12)</f>
        <v/>
      </c>
      <c r="E8" s="14">
        <f>(0.24*((C8+0.4*'Cooling Tower &amp; Corrugated Fill'!$C$12))+0.62198*(0.61094*EXP(17.625*(((C8+0.4*'Cooling Tower &amp; Corrugated Fill'!$C$12))-32)/1.8/((((C8+0.4*'Cooling Tower &amp; Corrugated Fill'!$C$12))-32)/1.8+243.04)))/('Cooling Tower &amp; Corrugated Fill'!$C$14-(0.61094*EXP(17.625*(((C8+0.4*'Cooling Tower &amp; Corrugated Fill'!$C$12))-32)/1.8/((((C8+0.4*'Cooling Tower &amp; Corrugated Fill'!$C$12))-32)/1.8+243.04))))*(1061+0.444*((C8+0.4*'Cooling Tower &amp; Corrugated Fill'!$C$12))))-('Merkel Solver'!$C$4+'Cooling Tower &amp; Corrugated Fill'!$C$13*0.4*'Cooling Tower &amp; Corrugated Fill'!$C$12)</f>
        <v/>
      </c>
      <c r="F8" s="14">
        <f>(0.24*((C8+0.6*'Cooling Tower &amp; Corrugated Fill'!$C$12))+0.62198*(0.61094*EXP(17.625*(((C8+0.6*'Cooling Tower &amp; Corrugated Fill'!$C$12))-32)/1.8/((((C8+0.6*'Cooling Tower &amp; Corrugated Fill'!$C$12))-32)/1.8+243.04)))/('Cooling Tower &amp; Corrugated Fill'!$C$14-(0.61094*EXP(17.625*(((C8+0.6*'Cooling Tower &amp; Corrugated Fill'!$C$12))-32)/1.8/((((C8+0.6*'Cooling Tower &amp; Corrugated Fill'!$C$12))-32)/1.8+243.04))))*(1061+0.444*((C8+0.6*'Cooling Tower &amp; Corrugated Fill'!$C$12))))-('Merkel Solver'!$C$4+'Cooling Tower &amp; Corrugated Fill'!$C$13*0.6*'Cooling Tower &amp; Corrugated Fill'!$C$12)</f>
        <v/>
      </c>
      <c r="G8" s="14">
        <f>(0.24*((C8+0.9*'Cooling Tower &amp; Corrugated Fill'!$C$12))+0.62198*(0.61094*EXP(17.625*(((C8+0.9*'Cooling Tower &amp; Corrugated Fill'!$C$12))-32)/1.8/((((C8+0.9*'Cooling Tower &amp; Corrugated Fill'!$C$12))-32)/1.8+243.04)))/('Cooling Tower &amp; Corrugated Fill'!$C$14-(0.61094*EXP(17.625*(((C8+0.9*'Cooling Tower &amp; Corrugated Fill'!$C$12))-32)/1.8/((((C8+0.9*'Cooling Tower &amp; Corrugated Fill'!$C$12))-32)/1.8+243.04))))*(1061+0.444*((C8+0.9*'Cooling Tower &amp; Corrugated Fill'!$C$12))))-('Merkel Solver'!$C$4+'Cooling Tower &amp; Corrugated Fill'!$C$13*0.9*'Cooling Tower &amp; Corrugated Fill'!$C$12)</f>
        <v/>
      </c>
      <c r="H8" s="22">
        <f>IF(MIN(D8:G8)&lt;=0,99999,'Cooling Tower &amp; Corrugated Fill'!$C$12/4*(1/D8+1/E8+1/F8+1/G8))</f>
        <v/>
      </c>
    </row>
    <row r="9">
      <c r="B9" s="30" t="n">
        <v>0.3</v>
      </c>
      <c r="C9" s="12">
        <f>'Dashboard'!$C$9+B9</f>
        <v/>
      </c>
      <c r="D9" s="14">
        <f>(0.24*((C9+0.1*'Cooling Tower &amp; Corrugated Fill'!$C$12))+0.62198*(0.61094*EXP(17.625*(((C9+0.1*'Cooling Tower &amp; Corrugated Fill'!$C$12))-32)/1.8/((((C9+0.1*'Cooling Tower &amp; Corrugated Fill'!$C$12))-32)/1.8+243.04)))/('Cooling Tower &amp; Corrugated Fill'!$C$14-(0.61094*EXP(17.625*(((C9+0.1*'Cooling Tower &amp; Corrugated Fill'!$C$12))-32)/1.8/((((C9+0.1*'Cooling Tower &amp; Corrugated Fill'!$C$12))-32)/1.8+243.04))))*(1061+0.444*((C9+0.1*'Cooling Tower &amp; Corrugated Fill'!$C$12))))-('Merkel Solver'!$C$4+'Cooling Tower &amp; Corrugated Fill'!$C$13*0.1*'Cooling Tower &amp; Corrugated Fill'!$C$12)</f>
        <v/>
      </c>
      <c r="E9" s="14">
        <f>(0.24*((C9+0.4*'Cooling Tower &amp; Corrugated Fill'!$C$12))+0.62198*(0.61094*EXP(17.625*(((C9+0.4*'Cooling Tower &amp; Corrugated Fill'!$C$12))-32)/1.8/((((C9+0.4*'Cooling Tower &amp; Corrugated Fill'!$C$12))-32)/1.8+243.04)))/('Cooling Tower &amp; Corrugated Fill'!$C$14-(0.61094*EXP(17.625*(((C9+0.4*'Cooling Tower &amp; Corrugated Fill'!$C$12))-32)/1.8/((((C9+0.4*'Cooling Tower &amp; Corrugated Fill'!$C$12))-32)/1.8+243.04))))*(1061+0.444*((C9+0.4*'Cooling Tower &amp; Corrugated Fill'!$C$12))))-('Merkel Solver'!$C$4+'Cooling Tower &amp; Corrugated Fill'!$C$13*0.4*'Cooling Tower &amp; Corrugated Fill'!$C$12)</f>
        <v/>
      </c>
      <c r="F9" s="14">
        <f>(0.24*((C9+0.6*'Cooling Tower &amp; Corrugated Fill'!$C$12))+0.62198*(0.61094*EXP(17.625*(((C9+0.6*'Cooling Tower &amp; Corrugated Fill'!$C$12))-32)/1.8/((((C9+0.6*'Cooling Tower &amp; Corrugated Fill'!$C$12))-32)/1.8+243.04)))/('Cooling Tower &amp; Corrugated Fill'!$C$14-(0.61094*EXP(17.625*(((C9+0.6*'Cooling Tower &amp; Corrugated Fill'!$C$12))-32)/1.8/((((C9+0.6*'Cooling Tower &amp; Corrugated Fill'!$C$12))-32)/1.8+243.04))))*(1061+0.444*((C9+0.6*'Cooling Tower &amp; Corrugated Fill'!$C$12))))-('Merkel Solver'!$C$4+'Cooling Tower &amp; Corrugated Fill'!$C$13*0.6*'Cooling Tower &amp; Corrugated Fill'!$C$12)</f>
        <v/>
      </c>
      <c r="G9" s="14">
        <f>(0.24*((C9+0.9*'Cooling Tower &amp; Corrugated Fill'!$C$12))+0.62198*(0.61094*EXP(17.625*(((C9+0.9*'Cooling Tower &amp; Corrugated Fill'!$C$12))-32)/1.8/((((C9+0.9*'Cooling Tower &amp; Corrugated Fill'!$C$12))-32)/1.8+243.04)))/('Cooling Tower &amp; Corrugated Fill'!$C$14-(0.61094*EXP(17.625*(((C9+0.9*'Cooling Tower &amp; Corrugated Fill'!$C$12))-32)/1.8/((((C9+0.9*'Cooling Tower &amp; Corrugated Fill'!$C$12))-32)/1.8+243.04))))*(1061+0.444*((C9+0.9*'Cooling Tower &amp; Corrugated Fill'!$C$12))))-('Merkel Solver'!$C$4+'Cooling Tower &amp; Corrugated Fill'!$C$13*0.9*'Cooling Tower &amp; Corrugated Fill'!$C$12)</f>
        <v/>
      </c>
      <c r="H9" s="22">
        <f>IF(MIN(D9:G9)&lt;=0,99999,'Cooling Tower &amp; Corrugated Fill'!$C$12/4*(1/D9+1/E9+1/F9+1/G9))</f>
        <v/>
      </c>
    </row>
    <row r="10">
      <c r="B10" s="30" t="n">
        <v>0.4</v>
      </c>
      <c r="C10" s="12">
        <f>'Dashboard'!$C$9+B10</f>
        <v/>
      </c>
      <c r="D10" s="14">
        <f>(0.24*((C10+0.1*'Cooling Tower &amp; Corrugated Fill'!$C$12))+0.62198*(0.61094*EXP(17.625*(((C10+0.1*'Cooling Tower &amp; Corrugated Fill'!$C$12))-32)/1.8/((((C10+0.1*'Cooling Tower &amp; Corrugated Fill'!$C$12))-32)/1.8+243.04)))/('Cooling Tower &amp; Corrugated Fill'!$C$14-(0.61094*EXP(17.625*(((C10+0.1*'Cooling Tower &amp; Corrugated Fill'!$C$12))-32)/1.8/((((C10+0.1*'Cooling Tower &amp; Corrugated Fill'!$C$12))-32)/1.8+243.04))))*(1061+0.444*((C10+0.1*'Cooling Tower &amp; Corrugated Fill'!$C$12))))-('Merkel Solver'!$C$4+'Cooling Tower &amp; Corrugated Fill'!$C$13*0.1*'Cooling Tower &amp; Corrugated Fill'!$C$12)</f>
        <v/>
      </c>
      <c r="E10" s="14">
        <f>(0.24*((C10+0.4*'Cooling Tower &amp; Corrugated Fill'!$C$12))+0.62198*(0.61094*EXP(17.625*(((C10+0.4*'Cooling Tower &amp; Corrugated Fill'!$C$12))-32)/1.8/((((C10+0.4*'Cooling Tower &amp; Corrugated Fill'!$C$12))-32)/1.8+243.04)))/('Cooling Tower &amp; Corrugated Fill'!$C$14-(0.61094*EXP(17.625*(((C10+0.4*'Cooling Tower &amp; Corrugated Fill'!$C$12))-32)/1.8/((((C10+0.4*'Cooling Tower &amp; Corrugated Fill'!$C$12))-32)/1.8+243.04))))*(1061+0.444*((C10+0.4*'Cooling Tower &amp; Corrugated Fill'!$C$12))))-('Merkel Solver'!$C$4+'Cooling Tower &amp; Corrugated Fill'!$C$13*0.4*'Cooling Tower &amp; Corrugated Fill'!$C$12)</f>
        <v/>
      </c>
      <c r="F10" s="14">
        <f>(0.24*((C10+0.6*'Cooling Tower &amp; Corrugated Fill'!$C$12))+0.62198*(0.61094*EXP(17.625*(((C10+0.6*'Cooling Tower &amp; Corrugated Fill'!$C$12))-32)/1.8/((((C10+0.6*'Cooling Tower &amp; Corrugated Fill'!$C$12))-32)/1.8+243.04)))/('Cooling Tower &amp; Corrugated Fill'!$C$14-(0.61094*EXP(17.625*(((C10+0.6*'Cooling Tower &amp; Corrugated Fill'!$C$12))-32)/1.8/((((C10+0.6*'Cooling Tower &amp; Corrugated Fill'!$C$12))-32)/1.8+243.04))))*(1061+0.444*((C10+0.6*'Cooling Tower &amp; Corrugated Fill'!$C$12))))-('Merkel Solver'!$C$4+'Cooling Tower &amp; Corrugated Fill'!$C$13*0.6*'Cooling Tower &amp; Corrugated Fill'!$C$12)</f>
        <v/>
      </c>
      <c r="G10" s="14">
        <f>(0.24*((C10+0.9*'Cooling Tower &amp; Corrugated Fill'!$C$12))+0.62198*(0.61094*EXP(17.625*(((C10+0.9*'Cooling Tower &amp; Corrugated Fill'!$C$12))-32)/1.8/((((C10+0.9*'Cooling Tower &amp; Corrugated Fill'!$C$12))-32)/1.8+243.04)))/('Cooling Tower &amp; Corrugated Fill'!$C$14-(0.61094*EXP(17.625*(((C10+0.9*'Cooling Tower &amp; Corrugated Fill'!$C$12))-32)/1.8/((((C10+0.9*'Cooling Tower &amp; Corrugated Fill'!$C$12))-32)/1.8+243.04))))*(1061+0.444*((C10+0.9*'Cooling Tower &amp; Corrugated Fill'!$C$12))))-('Merkel Solver'!$C$4+'Cooling Tower &amp; Corrugated Fill'!$C$13*0.9*'Cooling Tower &amp; Corrugated Fill'!$C$12)</f>
        <v/>
      </c>
      <c r="H10" s="22">
        <f>IF(MIN(D10:G10)&lt;=0,99999,'Cooling Tower &amp; Corrugated Fill'!$C$12/4*(1/D10+1/E10+1/F10+1/G10))</f>
        <v/>
      </c>
    </row>
    <row r="11">
      <c r="B11" s="30" t="n">
        <v>0.5</v>
      </c>
      <c r="C11" s="12">
        <f>'Dashboard'!$C$9+B11</f>
        <v/>
      </c>
      <c r="D11" s="14">
        <f>(0.24*((C11+0.1*'Cooling Tower &amp; Corrugated Fill'!$C$12))+0.62198*(0.61094*EXP(17.625*(((C11+0.1*'Cooling Tower &amp; Corrugated Fill'!$C$12))-32)/1.8/((((C11+0.1*'Cooling Tower &amp; Corrugated Fill'!$C$12))-32)/1.8+243.04)))/('Cooling Tower &amp; Corrugated Fill'!$C$14-(0.61094*EXP(17.625*(((C11+0.1*'Cooling Tower &amp; Corrugated Fill'!$C$12))-32)/1.8/((((C11+0.1*'Cooling Tower &amp; Corrugated Fill'!$C$12))-32)/1.8+243.04))))*(1061+0.444*((C11+0.1*'Cooling Tower &amp; Corrugated Fill'!$C$12))))-('Merkel Solver'!$C$4+'Cooling Tower &amp; Corrugated Fill'!$C$13*0.1*'Cooling Tower &amp; Corrugated Fill'!$C$12)</f>
        <v/>
      </c>
      <c r="E11" s="14">
        <f>(0.24*((C11+0.4*'Cooling Tower &amp; Corrugated Fill'!$C$12))+0.62198*(0.61094*EXP(17.625*(((C11+0.4*'Cooling Tower &amp; Corrugated Fill'!$C$12))-32)/1.8/((((C11+0.4*'Cooling Tower &amp; Corrugated Fill'!$C$12))-32)/1.8+243.04)))/('Cooling Tower &amp; Corrugated Fill'!$C$14-(0.61094*EXP(17.625*(((C11+0.4*'Cooling Tower &amp; Corrugated Fill'!$C$12))-32)/1.8/((((C11+0.4*'Cooling Tower &amp; Corrugated Fill'!$C$12))-32)/1.8+243.04))))*(1061+0.444*((C11+0.4*'Cooling Tower &amp; Corrugated Fill'!$C$12))))-('Merkel Solver'!$C$4+'Cooling Tower &amp; Corrugated Fill'!$C$13*0.4*'Cooling Tower &amp; Corrugated Fill'!$C$12)</f>
        <v/>
      </c>
      <c r="F11" s="14">
        <f>(0.24*((C11+0.6*'Cooling Tower &amp; Corrugated Fill'!$C$12))+0.62198*(0.61094*EXP(17.625*(((C11+0.6*'Cooling Tower &amp; Corrugated Fill'!$C$12))-32)/1.8/((((C11+0.6*'Cooling Tower &amp; Corrugated Fill'!$C$12))-32)/1.8+243.04)))/('Cooling Tower &amp; Corrugated Fill'!$C$14-(0.61094*EXP(17.625*(((C11+0.6*'Cooling Tower &amp; Corrugated Fill'!$C$12))-32)/1.8/((((C11+0.6*'Cooling Tower &amp; Corrugated Fill'!$C$12))-32)/1.8+243.04))))*(1061+0.444*((C11+0.6*'Cooling Tower &amp; Corrugated Fill'!$C$12))))-('Merkel Solver'!$C$4+'Cooling Tower &amp; Corrugated Fill'!$C$13*0.6*'Cooling Tower &amp; Corrugated Fill'!$C$12)</f>
        <v/>
      </c>
      <c r="G11" s="14">
        <f>(0.24*((C11+0.9*'Cooling Tower &amp; Corrugated Fill'!$C$12))+0.62198*(0.61094*EXP(17.625*(((C11+0.9*'Cooling Tower &amp; Corrugated Fill'!$C$12))-32)/1.8/((((C11+0.9*'Cooling Tower &amp; Corrugated Fill'!$C$12))-32)/1.8+243.04)))/('Cooling Tower &amp; Corrugated Fill'!$C$14-(0.61094*EXP(17.625*(((C11+0.9*'Cooling Tower &amp; Corrugated Fill'!$C$12))-32)/1.8/((((C11+0.9*'Cooling Tower &amp; Corrugated Fill'!$C$12))-32)/1.8+243.04))))*(1061+0.444*((C11+0.9*'Cooling Tower &amp; Corrugated Fill'!$C$12))))-('Merkel Solver'!$C$4+'Cooling Tower &amp; Corrugated Fill'!$C$13*0.9*'Cooling Tower &amp; Corrugated Fill'!$C$12)</f>
        <v/>
      </c>
      <c r="H11" s="22">
        <f>IF(MIN(D11:G11)&lt;=0,99999,'Cooling Tower &amp; Corrugated Fill'!$C$12/4*(1/D11+1/E11+1/F11+1/G11))</f>
        <v/>
      </c>
    </row>
    <row r="12">
      <c r="B12" s="30" t="n">
        <v>0.6</v>
      </c>
      <c r="C12" s="12">
        <f>'Dashboard'!$C$9+B12</f>
        <v/>
      </c>
      <c r="D12" s="14">
        <f>(0.24*((C12+0.1*'Cooling Tower &amp; Corrugated Fill'!$C$12))+0.62198*(0.61094*EXP(17.625*(((C12+0.1*'Cooling Tower &amp; Corrugated Fill'!$C$12))-32)/1.8/((((C12+0.1*'Cooling Tower &amp; Corrugated Fill'!$C$12))-32)/1.8+243.04)))/('Cooling Tower &amp; Corrugated Fill'!$C$14-(0.61094*EXP(17.625*(((C12+0.1*'Cooling Tower &amp; Corrugated Fill'!$C$12))-32)/1.8/((((C12+0.1*'Cooling Tower &amp; Corrugated Fill'!$C$12))-32)/1.8+243.04))))*(1061+0.444*((C12+0.1*'Cooling Tower &amp; Corrugated Fill'!$C$12))))-('Merkel Solver'!$C$4+'Cooling Tower &amp; Corrugated Fill'!$C$13*0.1*'Cooling Tower &amp; Corrugated Fill'!$C$12)</f>
        <v/>
      </c>
      <c r="E12" s="14">
        <f>(0.24*((C12+0.4*'Cooling Tower &amp; Corrugated Fill'!$C$12))+0.62198*(0.61094*EXP(17.625*(((C12+0.4*'Cooling Tower &amp; Corrugated Fill'!$C$12))-32)/1.8/((((C12+0.4*'Cooling Tower &amp; Corrugated Fill'!$C$12))-32)/1.8+243.04)))/('Cooling Tower &amp; Corrugated Fill'!$C$14-(0.61094*EXP(17.625*(((C12+0.4*'Cooling Tower &amp; Corrugated Fill'!$C$12))-32)/1.8/((((C12+0.4*'Cooling Tower &amp; Corrugated Fill'!$C$12))-32)/1.8+243.04))))*(1061+0.444*((C12+0.4*'Cooling Tower &amp; Corrugated Fill'!$C$12))))-('Merkel Solver'!$C$4+'Cooling Tower &amp; Corrugated Fill'!$C$13*0.4*'Cooling Tower &amp; Corrugated Fill'!$C$12)</f>
        <v/>
      </c>
      <c r="F12" s="14">
        <f>(0.24*((C12+0.6*'Cooling Tower &amp; Corrugated Fill'!$C$12))+0.62198*(0.61094*EXP(17.625*(((C12+0.6*'Cooling Tower &amp; Corrugated Fill'!$C$12))-32)/1.8/((((C12+0.6*'Cooling Tower &amp; Corrugated Fill'!$C$12))-32)/1.8+243.04)))/('Cooling Tower &amp; Corrugated Fill'!$C$14-(0.61094*EXP(17.625*(((C12+0.6*'Cooling Tower &amp; Corrugated Fill'!$C$12))-32)/1.8/((((C12+0.6*'Cooling Tower &amp; Corrugated Fill'!$C$12))-32)/1.8+243.04))))*(1061+0.444*((C12+0.6*'Cooling Tower &amp; Corrugated Fill'!$C$12))))-('Merkel Solver'!$C$4+'Cooling Tower &amp; Corrugated Fill'!$C$13*0.6*'Cooling Tower &amp; Corrugated Fill'!$C$12)</f>
        <v/>
      </c>
      <c r="G12" s="14">
        <f>(0.24*((C12+0.9*'Cooling Tower &amp; Corrugated Fill'!$C$12))+0.62198*(0.61094*EXP(17.625*(((C12+0.9*'Cooling Tower &amp; Corrugated Fill'!$C$12))-32)/1.8/((((C12+0.9*'Cooling Tower &amp; Corrugated Fill'!$C$12))-32)/1.8+243.04)))/('Cooling Tower &amp; Corrugated Fill'!$C$14-(0.61094*EXP(17.625*(((C12+0.9*'Cooling Tower &amp; Corrugated Fill'!$C$12))-32)/1.8/((((C12+0.9*'Cooling Tower &amp; Corrugated Fill'!$C$12))-32)/1.8+243.04))))*(1061+0.444*((C12+0.9*'Cooling Tower &amp; Corrugated Fill'!$C$12))))-('Merkel Solver'!$C$4+'Cooling Tower &amp; Corrugated Fill'!$C$13*0.9*'Cooling Tower &amp; Corrugated Fill'!$C$12)</f>
        <v/>
      </c>
      <c r="H12" s="22">
        <f>IF(MIN(D12:G12)&lt;=0,99999,'Cooling Tower &amp; Corrugated Fill'!$C$12/4*(1/D12+1/E12+1/F12+1/G12))</f>
        <v/>
      </c>
    </row>
    <row r="13">
      <c r="B13" s="30" t="n">
        <v>0.7</v>
      </c>
      <c r="C13" s="12">
        <f>'Dashboard'!$C$9+B13</f>
        <v/>
      </c>
      <c r="D13" s="14">
        <f>(0.24*((C13+0.1*'Cooling Tower &amp; Corrugated Fill'!$C$12))+0.62198*(0.61094*EXP(17.625*(((C13+0.1*'Cooling Tower &amp; Corrugated Fill'!$C$12))-32)/1.8/((((C13+0.1*'Cooling Tower &amp; Corrugated Fill'!$C$12))-32)/1.8+243.04)))/('Cooling Tower &amp; Corrugated Fill'!$C$14-(0.61094*EXP(17.625*(((C13+0.1*'Cooling Tower &amp; Corrugated Fill'!$C$12))-32)/1.8/((((C13+0.1*'Cooling Tower &amp; Corrugated Fill'!$C$12))-32)/1.8+243.04))))*(1061+0.444*((C13+0.1*'Cooling Tower &amp; Corrugated Fill'!$C$12))))-('Merkel Solver'!$C$4+'Cooling Tower &amp; Corrugated Fill'!$C$13*0.1*'Cooling Tower &amp; Corrugated Fill'!$C$12)</f>
        <v/>
      </c>
      <c r="E13" s="14">
        <f>(0.24*((C13+0.4*'Cooling Tower &amp; Corrugated Fill'!$C$12))+0.62198*(0.61094*EXP(17.625*(((C13+0.4*'Cooling Tower &amp; Corrugated Fill'!$C$12))-32)/1.8/((((C13+0.4*'Cooling Tower &amp; Corrugated Fill'!$C$12))-32)/1.8+243.04)))/('Cooling Tower &amp; Corrugated Fill'!$C$14-(0.61094*EXP(17.625*(((C13+0.4*'Cooling Tower &amp; Corrugated Fill'!$C$12))-32)/1.8/((((C13+0.4*'Cooling Tower &amp; Corrugated Fill'!$C$12))-32)/1.8+243.04))))*(1061+0.444*((C13+0.4*'Cooling Tower &amp; Corrugated Fill'!$C$12))))-('Merkel Solver'!$C$4+'Cooling Tower &amp; Corrugated Fill'!$C$13*0.4*'Cooling Tower &amp; Corrugated Fill'!$C$12)</f>
        <v/>
      </c>
      <c r="F13" s="14">
        <f>(0.24*((C13+0.6*'Cooling Tower &amp; Corrugated Fill'!$C$12))+0.62198*(0.61094*EXP(17.625*(((C13+0.6*'Cooling Tower &amp; Corrugated Fill'!$C$12))-32)/1.8/((((C13+0.6*'Cooling Tower &amp; Corrugated Fill'!$C$12))-32)/1.8+243.04)))/('Cooling Tower &amp; Corrugated Fill'!$C$14-(0.61094*EXP(17.625*(((C13+0.6*'Cooling Tower &amp; Corrugated Fill'!$C$12))-32)/1.8/((((C13+0.6*'Cooling Tower &amp; Corrugated Fill'!$C$12))-32)/1.8+243.04))))*(1061+0.444*((C13+0.6*'Cooling Tower &amp; Corrugated Fill'!$C$12))))-('Merkel Solver'!$C$4+'Cooling Tower &amp; Corrugated Fill'!$C$13*0.6*'Cooling Tower &amp; Corrugated Fill'!$C$12)</f>
        <v/>
      </c>
      <c r="G13" s="14">
        <f>(0.24*((C13+0.9*'Cooling Tower &amp; Corrugated Fill'!$C$12))+0.62198*(0.61094*EXP(17.625*(((C13+0.9*'Cooling Tower &amp; Corrugated Fill'!$C$12))-32)/1.8/((((C13+0.9*'Cooling Tower &amp; Corrugated Fill'!$C$12))-32)/1.8+243.04)))/('Cooling Tower &amp; Corrugated Fill'!$C$14-(0.61094*EXP(17.625*(((C13+0.9*'Cooling Tower &amp; Corrugated Fill'!$C$12))-32)/1.8/((((C13+0.9*'Cooling Tower &amp; Corrugated Fill'!$C$12))-32)/1.8+243.04))))*(1061+0.444*((C13+0.9*'Cooling Tower &amp; Corrugated Fill'!$C$12))))-('Merkel Solver'!$C$4+'Cooling Tower &amp; Corrugated Fill'!$C$13*0.9*'Cooling Tower &amp; Corrugated Fill'!$C$12)</f>
        <v/>
      </c>
      <c r="H13" s="22">
        <f>IF(MIN(D13:G13)&lt;=0,99999,'Cooling Tower &amp; Corrugated Fill'!$C$12/4*(1/D13+1/E13+1/F13+1/G13))</f>
        <v/>
      </c>
    </row>
    <row r="14">
      <c r="B14" s="30" t="n">
        <v>0.8</v>
      </c>
      <c r="C14" s="12">
        <f>'Dashboard'!$C$9+B14</f>
        <v/>
      </c>
      <c r="D14" s="14">
        <f>(0.24*((C14+0.1*'Cooling Tower &amp; Corrugated Fill'!$C$12))+0.62198*(0.61094*EXP(17.625*(((C14+0.1*'Cooling Tower &amp; Corrugated Fill'!$C$12))-32)/1.8/((((C14+0.1*'Cooling Tower &amp; Corrugated Fill'!$C$12))-32)/1.8+243.04)))/('Cooling Tower &amp; Corrugated Fill'!$C$14-(0.61094*EXP(17.625*(((C14+0.1*'Cooling Tower &amp; Corrugated Fill'!$C$12))-32)/1.8/((((C14+0.1*'Cooling Tower &amp; Corrugated Fill'!$C$12))-32)/1.8+243.04))))*(1061+0.444*((C14+0.1*'Cooling Tower &amp; Corrugated Fill'!$C$12))))-('Merkel Solver'!$C$4+'Cooling Tower &amp; Corrugated Fill'!$C$13*0.1*'Cooling Tower &amp; Corrugated Fill'!$C$12)</f>
        <v/>
      </c>
      <c r="E14" s="14">
        <f>(0.24*((C14+0.4*'Cooling Tower &amp; Corrugated Fill'!$C$12))+0.62198*(0.61094*EXP(17.625*(((C14+0.4*'Cooling Tower &amp; Corrugated Fill'!$C$12))-32)/1.8/((((C14+0.4*'Cooling Tower &amp; Corrugated Fill'!$C$12))-32)/1.8+243.04)))/('Cooling Tower &amp; Corrugated Fill'!$C$14-(0.61094*EXP(17.625*(((C14+0.4*'Cooling Tower &amp; Corrugated Fill'!$C$12))-32)/1.8/((((C14+0.4*'Cooling Tower &amp; Corrugated Fill'!$C$12))-32)/1.8+243.04))))*(1061+0.444*((C14+0.4*'Cooling Tower &amp; Corrugated Fill'!$C$12))))-('Merkel Solver'!$C$4+'Cooling Tower &amp; Corrugated Fill'!$C$13*0.4*'Cooling Tower &amp; Corrugated Fill'!$C$12)</f>
        <v/>
      </c>
      <c r="F14" s="14">
        <f>(0.24*((C14+0.6*'Cooling Tower &amp; Corrugated Fill'!$C$12))+0.62198*(0.61094*EXP(17.625*(((C14+0.6*'Cooling Tower &amp; Corrugated Fill'!$C$12))-32)/1.8/((((C14+0.6*'Cooling Tower &amp; Corrugated Fill'!$C$12))-32)/1.8+243.04)))/('Cooling Tower &amp; Corrugated Fill'!$C$14-(0.61094*EXP(17.625*(((C14+0.6*'Cooling Tower &amp; Corrugated Fill'!$C$12))-32)/1.8/((((C14+0.6*'Cooling Tower &amp; Corrugated Fill'!$C$12))-32)/1.8+243.04))))*(1061+0.444*((C14+0.6*'Cooling Tower &amp; Corrugated Fill'!$C$12))))-('Merkel Solver'!$C$4+'Cooling Tower &amp; Corrugated Fill'!$C$13*0.6*'Cooling Tower &amp; Corrugated Fill'!$C$12)</f>
        <v/>
      </c>
      <c r="G14" s="14">
        <f>(0.24*((C14+0.9*'Cooling Tower &amp; Corrugated Fill'!$C$12))+0.62198*(0.61094*EXP(17.625*(((C14+0.9*'Cooling Tower &amp; Corrugated Fill'!$C$12))-32)/1.8/((((C14+0.9*'Cooling Tower &amp; Corrugated Fill'!$C$12))-32)/1.8+243.04)))/('Cooling Tower &amp; Corrugated Fill'!$C$14-(0.61094*EXP(17.625*(((C14+0.9*'Cooling Tower &amp; Corrugated Fill'!$C$12))-32)/1.8/((((C14+0.9*'Cooling Tower &amp; Corrugated Fill'!$C$12))-32)/1.8+243.04))))*(1061+0.444*((C14+0.9*'Cooling Tower &amp; Corrugated Fill'!$C$12))))-('Merkel Solver'!$C$4+'Cooling Tower &amp; Corrugated Fill'!$C$13*0.9*'Cooling Tower &amp; Corrugated Fill'!$C$12)</f>
        <v/>
      </c>
      <c r="H14" s="22">
        <f>IF(MIN(D14:G14)&lt;=0,99999,'Cooling Tower &amp; Corrugated Fill'!$C$12/4*(1/D14+1/E14+1/F14+1/G14))</f>
        <v/>
      </c>
    </row>
    <row r="15">
      <c r="B15" s="30" t="n">
        <v>0.9</v>
      </c>
      <c r="C15" s="12">
        <f>'Dashboard'!$C$9+B15</f>
        <v/>
      </c>
      <c r="D15" s="14">
        <f>(0.24*((C15+0.1*'Cooling Tower &amp; Corrugated Fill'!$C$12))+0.62198*(0.61094*EXP(17.625*(((C15+0.1*'Cooling Tower &amp; Corrugated Fill'!$C$12))-32)/1.8/((((C15+0.1*'Cooling Tower &amp; Corrugated Fill'!$C$12))-32)/1.8+243.04)))/('Cooling Tower &amp; Corrugated Fill'!$C$14-(0.61094*EXP(17.625*(((C15+0.1*'Cooling Tower &amp; Corrugated Fill'!$C$12))-32)/1.8/((((C15+0.1*'Cooling Tower &amp; Corrugated Fill'!$C$12))-32)/1.8+243.04))))*(1061+0.444*((C15+0.1*'Cooling Tower &amp; Corrugated Fill'!$C$12))))-('Merkel Solver'!$C$4+'Cooling Tower &amp; Corrugated Fill'!$C$13*0.1*'Cooling Tower &amp; Corrugated Fill'!$C$12)</f>
        <v/>
      </c>
      <c r="E15" s="14">
        <f>(0.24*((C15+0.4*'Cooling Tower &amp; Corrugated Fill'!$C$12))+0.62198*(0.61094*EXP(17.625*(((C15+0.4*'Cooling Tower &amp; Corrugated Fill'!$C$12))-32)/1.8/((((C15+0.4*'Cooling Tower &amp; Corrugated Fill'!$C$12))-32)/1.8+243.04)))/('Cooling Tower &amp; Corrugated Fill'!$C$14-(0.61094*EXP(17.625*(((C15+0.4*'Cooling Tower &amp; Corrugated Fill'!$C$12))-32)/1.8/((((C15+0.4*'Cooling Tower &amp; Corrugated Fill'!$C$12))-32)/1.8+243.04))))*(1061+0.444*((C15+0.4*'Cooling Tower &amp; Corrugated Fill'!$C$12))))-('Merkel Solver'!$C$4+'Cooling Tower &amp; Corrugated Fill'!$C$13*0.4*'Cooling Tower &amp; Corrugated Fill'!$C$12)</f>
        <v/>
      </c>
      <c r="F15" s="14">
        <f>(0.24*((C15+0.6*'Cooling Tower &amp; Corrugated Fill'!$C$12))+0.62198*(0.61094*EXP(17.625*(((C15+0.6*'Cooling Tower &amp; Corrugated Fill'!$C$12))-32)/1.8/((((C15+0.6*'Cooling Tower &amp; Corrugated Fill'!$C$12))-32)/1.8+243.04)))/('Cooling Tower &amp; Corrugated Fill'!$C$14-(0.61094*EXP(17.625*(((C15+0.6*'Cooling Tower &amp; Corrugated Fill'!$C$12))-32)/1.8/((((C15+0.6*'Cooling Tower &amp; Corrugated Fill'!$C$12))-32)/1.8+243.04))))*(1061+0.444*((C15+0.6*'Cooling Tower &amp; Corrugated Fill'!$C$12))))-('Merkel Solver'!$C$4+'Cooling Tower &amp; Corrugated Fill'!$C$13*0.6*'Cooling Tower &amp; Corrugated Fill'!$C$12)</f>
        <v/>
      </c>
      <c r="G15" s="14">
        <f>(0.24*((C15+0.9*'Cooling Tower &amp; Corrugated Fill'!$C$12))+0.62198*(0.61094*EXP(17.625*(((C15+0.9*'Cooling Tower &amp; Corrugated Fill'!$C$12))-32)/1.8/((((C15+0.9*'Cooling Tower &amp; Corrugated Fill'!$C$12))-32)/1.8+243.04)))/('Cooling Tower &amp; Corrugated Fill'!$C$14-(0.61094*EXP(17.625*(((C15+0.9*'Cooling Tower &amp; Corrugated Fill'!$C$12))-32)/1.8/((((C15+0.9*'Cooling Tower &amp; Corrugated Fill'!$C$12))-32)/1.8+243.04))))*(1061+0.444*((C15+0.9*'Cooling Tower &amp; Corrugated Fill'!$C$12))))-('Merkel Solver'!$C$4+'Cooling Tower &amp; Corrugated Fill'!$C$13*0.9*'Cooling Tower &amp; Corrugated Fill'!$C$12)</f>
        <v/>
      </c>
      <c r="H15" s="22">
        <f>IF(MIN(D15:G15)&lt;=0,99999,'Cooling Tower &amp; Corrugated Fill'!$C$12/4*(1/D15+1/E15+1/F15+1/G15))</f>
        <v/>
      </c>
    </row>
    <row r="16">
      <c r="B16" s="30" t="n">
        <v>1</v>
      </c>
      <c r="C16" s="12">
        <f>'Dashboard'!$C$9+B16</f>
        <v/>
      </c>
      <c r="D16" s="14">
        <f>(0.24*((C16+0.1*'Cooling Tower &amp; Corrugated Fill'!$C$12))+0.62198*(0.61094*EXP(17.625*(((C16+0.1*'Cooling Tower &amp; Corrugated Fill'!$C$12))-32)/1.8/((((C16+0.1*'Cooling Tower &amp; Corrugated Fill'!$C$12))-32)/1.8+243.04)))/('Cooling Tower &amp; Corrugated Fill'!$C$14-(0.61094*EXP(17.625*(((C16+0.1*'Cooling Tower &amp; Corrugated Fill'!$C$12))-32)/1.8/((((C16+0.1*'Cooling Tower &amp; Corrugated Fill'!$C$12))-32)/1.8+243.04))))*(1061+0.444*((C16+0.1*'Cooling Tower &amp; Corrugated Fill'!$C$12))))-('Merkel Solver'!$C$4+'Cooling Tower &amp; Corrugated Fill'!$C$13*0.1*'Cooling Tower &amp; Corrugated Fill'!$C$12)</f>
        <v/>
      </c>
      <c r="E16" s="14">
        <f>(0.24*((C16+0.4*'Cooling Tower &amp; Corrugated Fill'!$C$12))+0.62198*(0.61094*EXP(17.625*(((C16+0.4*'Cooling Tower &amp; Corrugated Fill'!$C$12))-32)/1.8/((((C16+0.4*'Cooling Tower &amp; Corrugated Fill'!$C$12))-32)/1.8+243.04)))/('Cooling Tower &amp; Corrugated Fill'!$C$14-(0.61094*EXP(17.625*(((C16+0.4*'Cooling Tower &amp; Corrugated Fill'!$C$12))-32)/1.8/((((C16+0.4*'Cooling Tower &amp; Corrugated Fill'!$C$12))-32)/1.8+243.04))))*(1061+0.444*((C16+0.4*'Cooling Tower &amp; Corrugated Fill'!$C$12))))-('Merkel Solver'!$C$4+'Cooling Tower &amp; Corrugated Fill'!$C$13*0.4*'Cooling Tower &amp; Corrugated Fill'!$C$12)</f>
        <v/>
      </c>
      <c r="F16" s="14">
        <f>(0.24*((C16+0.6*'Cooling Tower &amp; Corrugated Fill'!$C$12))+0.62198*(0.61094*EXP(17.625*(((C16+0.6*'Cooling Tower &amp; Corrugated Fill'!$C$12))-32)/1.8/((((C16+0.6*'Cooling Tower &amp; Corrugated Fill'!$C$12))-32)/1.8+243.04)))/('Cooling Tower &amp; Corrugated Fill'!$C$14-(0.61094*EXP(17.625*(((C16+0.6*'Cooling Tower &amp; Corrugated Fill'!$C$12))-32)/1.8/((((C16+0.6*'Cooling Tower &amp; Corrugated Fill'!$C$12))-32)/1.8+243.04))))*(1061+0.444*((C16+0.6*'Cooling Tower &amp; Corrugated Fill'!$C$12))))-('Merkel Solver'!$C$4+'Cooling Tower &amp; Corrugated Fill'!$C$13*0.6*'Cooling Tower &amp; Corrugated Fill'!$C$12)</f>
        <v/>
      </c>
      <c r="G16" s="14">
        <f>(0.24*((C16+0.9*'Cooling Tower &amp; Corrugated Fill'!$C$12))+0.62198*(0.61094*EXP(17.625*(((C16+0.9*'Cooling Tower &amp; Corrugated Fill'!$C$12))-32)/1.8/((((C16+0.9*'Cooling Tower &amp; Corrugated Fill'!$C$12))-32)/1.8+243.04)))/('Cooling Tower &amp; Corrugated Fill'!$C$14-(0.61094*EXP(17.625*(((C16+0.9*'Cooling Tower &amp; Corrugated Fill'!$C$12))-32)/1.8/((((C16+0.9*'Cooling Tower &amp; Corrugated Fill'!$C$12))-32)/1.8+243.04))))*(1061+0.444*((C16+0.9*'Cooling Tower &amp; Corrugated Fill'!$C$12))))-('Merkel Solver'!$C$4+'Cooling Tower &amp; Corrugated Fill'!$C$13*0.9*'Cooling Tower &amp; Corrugated Fill'!$C$12)</f>
        <v/>
      </c>
      <c r="H16" s="22">
        <f>IF(MIN(D16:G16)&lt;=0,99999,'Cooling Tower &amp; Corrugated Fill'!$C$12/4*(1/D16+1/E16+1/F16+1/G16))</f>
        <v/>
      </c>
    </row>
    <row r="17">
      <c r="B17" s="30" t="n">
        <v>1.1</v>
      </c>
      <c r="C17" s="12">
        <f>'Dashboard'!$C$9+B17</f>
        <v/>
      </c>
      <c r="D17" s="14">
        <f>(0.24*((C17+0.1*'Cooling Tower &amp; Corrugated Fill'!$C$12))+0.62198*(0.61094*EXP(17.625*(((C17+0.1*'Cooling Tower &amp; Corrugated Fill'!$C$12))-32)/1.8/((((C17+0.1*'Cooling Tower &amp; Corrugated Fill'!$C$12))-32)/1.8+243.04)))/('Cooling Tower &amp; Corrugated Fill'!$C$14-(0.61094*EXP(17.625*(((C17+0.1*'Cooling Tower &amp; Corrugated Fill'!$C$12))-32)/1.8/((((C17+0.1*'Cooling Tower &amp; Corrugated Fill'!$C$12))-32)/1.8+243.04))))*(1061+0.444*((C17+0.1*'Cooling Tower &amp; Corrugated Fill'!$C$12))))-('Merkel Solver'!$C$4+'Cooling Tower &amp; Corrugated Fill'!$C$13*0.1*'Cooling Tower &amp; Corrugated Fill'!$C$12)</f>
        <v/>
      </c>
      <c r="E17" s="14">
        <f>(0.24*((C17+0.4*'Cooling Tower &amp; Corrugated Fill'!$C$12))+0.62198*(0.61094*EXP(17.625*(((C17+0.4*'Cooling Tower &amp; Corrugated Fill'!$C$12))-32)/1.8/((((C17+0.4*'Cooling Tower &amp; Corrugated Fill'!$C$12))-32)/1.8+243.04)))/('Cooling Tower &amp; Corrugated Fill'!$C$14-(0.61094*EXP(17.625*(((C17+0.4*'Cooling Tower &amp; Corrugated Fill'!$C$12))-32)/1.8/((((C17+0.4*'Cooling Tower &amp; Corrugated Fill'!$C$12))-32)/1.8+243.04))))*(1061+0.444*((C17+0.4*'Cooling Tower &amp; Corrugated Fill'!$C$12))))-('Merkel Solver'!$C$4+'Cooling Tower &amp; Corrugated Fill'!$C$13*0.4*'Cooling Tower &amp; Corrugated Fill'!$C$12)</f>
        <v/>
      </c>
      <c r="F17" s="14">
        <f>(0.24*((C17+0.6*'Cooling Tower &amp; Corrugated Fill'!$C$12))+0.62198*(0.61094*EXP(17.625*(((C17+0.6*'Cooling Tower &amp; Corrugated Fill'!$C$12))-32)/1.8/((((C17+0.6*'Cooling Tower &amp; Corrugated Fill'!$C$12))-32)/1.8+243.04)))/('Cooling Tower &amp; Corrugated Fill'!$C$14-(0.61094*EXP(17.625*(((C17+0.6*'Cooling Tower &amp; Corrugated Fill'!$C$12))-32)/1.8/((((C17+0.6*'Cooling Tower &amp; Corrugated Fill'!$C$12))-32)/1.8+243.04))))*(1061+0.444*((C17+0.6*'Cooling Tower &amp; Corrugated Fill'!$C$12))))-('Merkel Solver'!$C$4+'Cooling Tower &amp; Corrugated Fill'!$C$13*0.6*'Cooling Tower &amp; Corrugated Fill'!$C$12)</f>
        <v/>
      </c>
      <c r="G17" s="14">
        <f>(0.24*((C17+0.9*'Cooling Tower &amp; Corrugated Fill'!$C$12))+0.62198*(0.61094*EXP(17.625*(((C17+0.9*'Cooling Tower &amp; Corrugated Fill'!$C$12))-32)/1.8/((((C17+0.9*'Cooling Tower &amp; Corrugated Fill'!$C$12))-32)/1.8+243.04)))/('Cooling Tower &amp; Corrugated Fill'!$C$14-(0.61094*EXP(17.625*(((C17+0.9*'Cooling Tower &amp; Corrugated Fill'!$C$12))-32)/1.8/((((C17+0.9*'Cooling Tower &amp; Corrugated Fill'!$C$12))-32)/1.8+243.04))))*(1061+0.444*((C17+0.9*'Cooling Tower &amp; Corrugated Fill'!$C$12))))-('Merkel Solver'!$C$4+'Cooling Tower &amp; Corrugated Fill'!$C$13*0.9*'Cooling Tower &amp; Corrugated Fill'!$C$12)</f>
        <v/>
      </c>
      <c r="H17" s="22">
        <f>IF(MIN(D17:G17)&lt;=0,99999,'Cooling Tower &amp; Corrugated Fill'!$C$12/4*(1/D17+1/E17+1/F17+1/G17))</f>
        <v/>
      </c>
    </row>
    <row r="18">
      <c r="B18" s="30" t="n">
        <v>1.2</v>
      </c>
      <c r="C18" s="12">
        <f>'Dashboard'!$C$9+B18</f>
        <v/>
      </c>
      <c r="D18" s="14">
        <f>(0.24*((C18+0.1*'Cooling Tower &amp; Corrugated Fill'!$C$12))+0.62198*(0.61094*EXP(17.625*(((C18+0.1*'Cooling Tower &amp; Corrugated Fill'!$C$12))-32)/1.8/((((C18+0.1*'Cooling Tower &amp; Corrugated Fill'!$C$12))-32)/1.8+243.04)))/('Cooling Tower &amp; Corrugated Fill'!$C$14-(0.61094*EXP(17.625*(((C18+0.1*'Cooling Tower &amp; Corrugated Fill'!$C$12))-32)/1.8/((((C18+0.1*'Cooling Tower &amp; Corrugated Fill'!$C$12))-32)/1.8+243.04))))*(1061+0.444*((C18+0.1*'Cooling Tower &amp; Corrugated Fill'!$C$12))))-('Merkel Solver'!$C$4+'Cooling Tower &amp; Corrugated Fill'!$C$13*0.1*'Cooling Tower &amp; Corrugated Fill'!$C$12)</f>
        <v/>
      </c>
      <c r="E18" s="14">
        <f>(0.24*((C18+0.4*'Cooling Tower &amp; Corrugated Fill'!$C$12))+0.62198*(0.61094*EXP(17.625*(((C18+0.4*'Cooling Tower &amp; Corrugated Fill'!$C$12))-32)/1.8/((((C18+0.4*'Cooling Tower &amp; Corrugated Fill'!$C$12))-32)/1.8+243.04)))/('Cooling Tower &amp; Corrugated Fill'!$C$14-(0.61094*EXP(17.625*(((C18+0.4*'Cooling Tower &amp; Corrugated Fill'!$C$12))-32)/1.8/((((C18+0.4*'Cooling Tower &amp; Corrugated Fill'!$C$12))-32)/1.8+243.04))))*(1061+0.444*((C18+0.4*'Cooling Tower &amp; Corrugated Fill'!$C$12))))-('Merkel Solver'!$C$4+'Cooling Tower &amp; Corrugated Fill'!$C$13*0.4*'Cooling Tower &amp; Corrugated Fill'!$C$12)</f>
        <v/>
      </c>
      <c r="F18" s="14">
        <f>(0.24*((C18+0.6*'Cooling Tower &amp; Corrugated Fill'!$C$12))+0.62198*(0.61094*EXP(17.625*(((C18+0.6*'Cooling Tower &amp; Corrugated Fill'!$C$12))-32)/1.8/((((C18+0.6*'Cooling Tower &amp; Corrugated Fill'!$C$12))-32)/1.8+243.04)))/('Cooling Tower &amp; Corrugated Fill'!$C$14-(0.61094*EXP(17.625*(((C18+0.6*'Cooling Tower &amp; Corrugated Fill'!$C$12))-32)/1.8/((((C18+0.6*'Cooling Tower &amp; Corrugated Fill'!$C$12))-32)/1.8+243.04))))*(1061+0.444*((C18+0.6*'Cooling Tower &amp; Corrugated Fill'!$C$12))))-('Merkel Solver'!$C$4+'Cooling Tower &amp; Corrugated Fill'!$C$13*0.6*'Cooling Tower &amp; Corrugated Fill'!$C$12)</f>
        <v/>
      </c>
      <c r="G18" s="14">
        <f>(0.24*((C18+0.9*'Cooling Tower &amp; Corrugated Fill'!$C$12))+0.62198*(0.61094*EXP(17.625*(((C18+0.9*'Cooling Tower &amp; Corrugated Fill'!$C$12))-32)/1.8/((((C18+0.9*'Cooling Tower &amp; Corrugated Fill'!$C$12))-32)/1.8+243.04)))/('Cooling Tower &amp; Corrugated Fill'!$C$14-(0.61094*EXP(17.625*(((C18+0.9*'Cooling Tower &amp; Corrugated Fill'!$C$12))-32)/1.8/((((C18+0.9*'Cooling Tower &amp; Corrugated Fill'!$C$12))-32)/1.8+243.04))))*(1061+0.444*((C18+0.9*'Cooling Tower &amp; Corrugated Fill'!$C$12))))-('Merkel Solver'!$C$4+'Cooling Tower &amp; Corrugated Fill'!$C$13*0.9*'Cooling Tower &amp; Corrugated Fill'!$C$12)</f>
        <v/>
      </c>
      <c r="H18" s="22">
        <f>IF(MIN(D18:G18)&lt;=0,99999,'Cooling Tower &amp; Corrugated Fill'!$C$12/4*(1/D18+1/E18+1/F18+1/G18))</f>
        <v/>
      </c>
    </row>
    <row r="19">
      <c r="B19" s="30" t="n">
        <v>1.3</v>
      </c>
      <c r="C19" s="12">
        <f>'Dashboard'!$C$9+B19</f>
        <v/>
      </c>
      <c r="D19" s="14">
        <f>(0.24*((C19+0.1*'Cooling Tower &amp; Corrugated Fill'!$C$12))+0.62198*(0.61094*EXP(17.625*(((C19+0.1*'Cooling Tower &amp; Corrugated Fill'!$C$12))-32)/1.8/((((C19+0.1*'Cooling Tower &amp; Corrugated Fill'!$C$12))-32)/1.8+243.04)))/('Cooling Tower &amp; Corrugated Fill'!$C$14-(0.61094*EXP(17.625*(((C19+0.1*'Cooling Tower &amp; Corrugated Fill'!$C$12))-32)/1.8/((((C19+0.1*'Cooling Tower &amp; Corrugated Fill'!$C$12))-32)/1.8+243.04))))*(1061+0.444*((C19+0.1*'Cooling Tower &amp; Corrugated Fill'!$C$12))))-('Merkel Solver'!$C$4+'Cooling Tower &amp; Corrugated Fill'!$C$13*0.1*'Cooling Tower &amp; Corrugated Fill'!$C$12)</f>
        <v/>
      </c>
      <c r="E19" s="14">
        <f>(0.24*((C19+0.4*'Cooling Tower &amp; Corrugated Fill'!$C$12))+0.62198*(0.61094*EXP(17.625*(((C19+0.4*'Cooling Tower &amp; Corrugated Fill'!$C$12))-32)/1.8/((((C19+0.4*'Cooling Tower &amp; Corrugated Fill'!$C$12))-32)/1.8+243.04)))/('Cooling Tower &amp; Corrugated Fill'!$C$14-(0.61094*EXP(17.625*(((C19+0.4*'Cooling Tower &amp; Corrugated Fill'!$C$12))-32)/1.8/((((C19+0.4*'Cooling Tower &amp; Corrugated Fill'!$C$12))-32)/1.8+243.04))))*(1061+0.444*((C19+0.4*'Cooling Tower &amp; Corrugated Fill'!$C$12))))-('Merkel Solver'!$C$4+'Cooling Tower &amp; Corrugated Fill'!$C$13*0.4*'Cooling Tower &amp; Corrugated Fill'!$C$12)</f>
        <v/>
      </c>
      <c r="F19" s="14">
        <f>(0.24*((C19+0.6*'Cooling Tower &amp; Corrugated Fill'!$C$12))+0.62198*(0.61094*EXP(17.625*(((C19+0.6*'Cooling Tower &amp; Corrugated Fill'!$C$12))-32)/1.8/((((C19+0.6*'Cooling Tower &amp; Corrugated Fill'!$C$12))-32)/1.8+243.04)))/('Cooling Tower &amp; Corrugated Fill'!$C$14-(0.61094*EXP(17.625*(((C19+0.6*'Cooling Tower &amp; Corrugated Fill'!$C$12))-32)/1.8/((((C19+0.6*'Cooling Tower &amp; Corrugated Fill'!$C$12))-32)/1.8+243.04))))*(1061+0.444*((C19+0.6*'Cooling Tower &amp; Corrugated Fill'!$C$12))))-('Merkel Solver'!$C$4+'Cooling Tower &amp; Corrugated Fill'!$C$13*0.6*'Cooling Tower &amp; Corrugated Fill'!$C$12)</f>
        <v/>
      </c>
      <c r="G19" s="14">
        <f>(0.24*((C19+0.9*'Cooling Tower &amp; Corrugated Fill'!$C$12))+0.62198*(0.61094*EXP(17.625*(((C19+0.9*'Cooling Tower &amp; Corrugated Fill'!$C$12))-32)/1.8/((((C19+0.9*'Cooling Tower &amp; Corrugated Fill'!$C$12))-32)/1.8+243.04)))/('Cooling Tower &amp; Corrugated Fill'!$C$14-(0.61094*EXP(17.625*(((C19+0.9*'Cooling Tower &amp; Corrugated Fill'!$C$12))-32)/1.8/((((C19+0.9*'Cooling Tower &amp; Corrugated Fill'!$C$12))-32)/1.8+243.04))))*(1061+0.444*((C19+0.9*'Cooling Tower &amp; Corrugated Fill'!$C$12))))-('Merkel Solver'!$C$4+'Cooling Tower &amp; Corrugated Fill'!$C$13*0.9*'Cooling Tower &amp; Corrugated Fill'!$C$12)</f>
        <v/>
      </c>
      <c r="H19" s="22">
        <f>IF(MIN(D19:G19)&lt;=0,99999,'Cooling Tower &amp; Corrugated Fill'!$C$12/4*(1/D19+1/E19+1/F19+1/G19))</f>
        <v/>
      </c>
    </row>
    <row r="20">
      <c r="B20" s="30" t="n">
        <v>1.4</v>
      </c>
      <c r="C20" s="12">
        <f>'Dashboard'!$C$9+B20</f>
        <v/>
      </c>
      <c r="D20" s="14">
        <f>(0.24*((C20+0.1*'Cooling Tower &amp; Corrugated Fill'!$C$12))+0.62198*(0.61094*EXP(17.625*(((C20+0.1*'Cooling Tower &amp; Corrugated Fill'!$C$12))-32)/1.8/((((C20+0.1*'Cooling Tower &amp; Corrugated Fill'!$C$12))-32)/1.8+243.04)))/('Cooling Tower &amp; Corrugated Fill'!$C$14-(0.61094*EXP(17.625*(((C20+0.1*'Cooling Tower &amp; Corrugated Fill'!$C$12))-32)/1.8/((((C20+0.1*'Cooling Tower &amp; Corrugated Fill'!$C$12))-32)/1.8+243.04))))*(1061+0.444*((C20+0.1*'Cooling Tower &amp; Corrugated Fill'!$C$12))))-('Merkel Solver'!$C$4+'Cooling Tower &amp; Corrugated Fill'!$C$13*0.1*'Cooling Tower &amp; Corrugated Fill'!$C$12)</f>
        <v/>
      </c>
      <c r="E20" s="14">
        <f>(0.24*((C20+0.4*'Cooling Tower &amp; Corrugated Fill'!$C$12))+0.62198*(0.61094*EXP(17.625*(((C20+0.4*'Cooling Tower &amp; Corrugated Fill'!$C$12))-32)/1.8/((((C20+0.4*'Cooling Tower &amp; Corrugated Fill'!$C$12))-32)/1.8+243.04)))/('Cooling Tower &amp; Corrugated Fill'!$C$14-(0.61094*EXP(17.625*(((C20+0.4*'Cooling Tower &amp; Corrugated Fill'!$C$12))-32)/1.8/((((C20+0.4*'Cooling Tower &amp; Corrugated Fill'!$C$12))-32)/1.8+243.04))))*(1061+0.444*((C20+0.4*'Cooling Tower &amp; Corrugated Fill'!$C$12))))-('Merkel Solver'!$C$4+'Cooling Tower &amp; Corrugated Fill'!$C$13*0.4*'Cooling Tower &amp; Corrugated Fill'!$C$12)</f>
        <v/>
      </c>
      <c r="F20" s="14">
        <f>(0.24*((C20+0.6*'Cooling Tower &amp; Corrugated Fill'!$C$12))+0.62198*(0.61094*EXP(17.625*(((C20+0.6*'Cooling Tower &amp; Corrugated Fill'!$C$12))-32)/1.8/((((C20+0.6*'Cooling Tower &amp; Corrugated Fill'!$C$12))-32)/1.8+243.04)))/('Cooling Tower &amp; Corrugated Fill'!$C$14-(0.61094*EXP(17.625*(((C20+0.6*'Cooling Tower &amp; Corrugated Fill'!$C$12))-32)/1.8/((((C20+0.6*'Cooling Tower &amp; Corrugated Fill'!$C$12))-32)/1.8+243.04))))*(1061+0.444*((C20+0.6*'Cooling Tower &amp; Corrugated Fill'!$C$12))))-('Merkel Solver'!$C$4+'Cooling Tower &amp; Corrugated Fill'!$C$13*0.6*'Cooling Tower &amp; Corrugated Fill'!$C$12)</f>
        <v/>
      </c>
      <c r="G20" s="14">
        <f>(0.24*((C20+0.9*'Cooling Tower &amp; Corrugated Fill'!$C$12))+0.62198*(0.61094*EXP(17.625*(((C20+0.9*'Cooling Tower &amp; Corrugated Fill'!$C$12))-32)/1.8/((((C20+0.9*'Cooling Tower &amp; Corrugated Fill'!$C$12))-32)/1.8+243.04)))/('Cooling Tower &amp; Corrugated Fill'!$C$14-(0.61094*EXP(17.625*(((C20+0.9*'Cooling Tower &amp; Corrugated Fill'!$C$12))-32)/1.8/((((C20+0.9*'Cooling Tower &amp; Corrugated Fill'!$C$12))-32)/1.8+243.04))))*(1061+0.444*((C20+0.9*'Cooling Tower &amp; Corrugated Fill'!$C$12))))-('Merkel Solver'!$C$4+'Cooling Tower &amp; Corrugated Fill'!$C$13*0.9*'Cooling Tower &amp; Corrugated Fill'!$C$12)</f>
        <v/>
      </c>
      <c r="H20" s="22">
        <f>IF(MIN(D20:G20)&lt;=0,99999,'Cooling Tower &amp; Corrugated Fill'!$C$12/4*(1/D20+1/E20+1/F20+1/G20))</f>
        <v/>
      </c>
    </row>
    <row r="21">
      <c r="B21" s="30" t="n">
        <v>1.5</v>
      </c>
      <c r="C21" s="12">
        <f>'Dashboard'!$C$9+B21</f>
        <v/>
      </c>
      <c r="D21" s="14">
        <f>(0.24*((C21+0.1*'Cooling Tower &amp; Corrugated Fill'!$C$12))+0.62198*(0.61094*EXP(17.625*(((C21+0.1*'Cooling Tower &amp; Corrugated Fill'!$C$12))-32)/1.8/((((C21+0.1*'Cooling Tower &amp; Corrugated Fill'!$C$12))-32)/1.8+243.04)))/('Cooling Tower &amp; Corrugated Fill'!$C$14-(0.61094*EXP(17.625*(((C21+0.1*'Cooling Tower &amp; Corrugated Fill'!$C$12))-32)/1.8/((((C21+0.1*'Cooling Tower &amp; Corrugated Fill'!$C$12))-32)/1.8+243.04))))*(1061+0.444*((C21+0.1*'Cooling Tower &amp; Corrugated Fill'!$C$12))))-('Merkel Solver'!$C$4+'Cooling Tower &amp; Corrugated Fill'!$C$13*0.1*'Cooling Tower &amp; Corrugated Fill'!$C$12)</f>
        <v/>
      </c>
      <c r="E21" s="14">
        <f>(0.24*((C21+0.4*'Cooling Tower &amp; Corrugated Fill'!$C$12))+0.62198*(0.61094*EXP(17.625*(((C21+0.4*'Cooling Tower &amp; Corrugated Fill'!$C$12))-32)/1.8/((((C21+0.4*'Cooling Tower &amp; Corrugated Fill'!$C$12))-32)/1.8+243.04)))/('Cooling Tower &amp; Corrugated Fill'!$C$14-(0.61094*EXP(17.625*(((C21+0.4*'Cooling Tower &amp; Corrugated Fill'!$C$12))-32)/1.8/((((C21+0.4*'Cooling Tower &amp; Corrugated Fill'!$C$12))-32)/1.8+243.04))))*(1061+0.444*((C21+0.4*'Cooling Tower &amp; Corrugated Fill'!$C$12))))-('Merkel Solver'!$C$4+'Cooling Tower &amp; Corrugated Fill'!$C$13*0.4*'Cooling Tower &amp; Corrugated Fill'!$C$12)</f>
        <v/>
      </c>
      <c r="F21" s="14">
        <f>(0.24*((C21+0.6*'Cooling Tower &amp; Corrugated Fill'!$C$12))+0.62198*(0.61094*EXP(17.625*(((C21+0.6*'Cooling Tower &amp; Corrugated Fill'!$C$12))-32)/1.8/((((C21+0.6*'Cooling Tower &amp; Corrugated Fill'!$C$12))-32)/1.8+243.04)))/('Cooling Tower &amp; Corrugated Fill'!$C$14-(0.61094*EXP(17.625*(((C21+0.6*'Cooling Tower &amp; Corrugated Fill'!$C$12))-32)/1.8/((((C21+0.6*'Cooling Tower &amp; Corrugated Fill'!$C$12))-32)/1.8+243.04))))*(1061+0.444*((C21+0.6*'Cooling Tower &amp; Corrugated Fill'!$C$12))))-('Merkel Solver'!$C$4+'Cooling Tower &amp; Corrugated Fill'!$C$13*0.6*'Cooling Tower &amp; Corrugated Fill'!$C$12)</f>
        <v/>
      </c>
      <c r="G21" s="14">
        <f>(0.24*((C21+0.9*'Cooling Tower &amp; Corrugated Fill'!$C$12))+0.62198*(0.61094*EXP(17.625*(((C21+0.9*'Cooling Tower &amp; Corrugated Fill'!$C$12))-32)/1.8/((((C21+0.9*'Cooling Tower &amp; Corrugated Fill'!$C$12))-32)/1.8+243.04)))/('Cooling Tower &amp; Corrugated Fill'!$C$14-(0.61094*EXP(17.625*(((C21+0.9*'Cooling Tower &amp; Corrugated Fill'!$C$12))-32)/1.8/((((C21+0.9*'Cooling Tower &amp; Corrugated Fill'!$C$12))-32)/1.8+243.04))))*(1061+0.444*((C21+0.9*'Cooling Tower &amp; Corrugated Fill'!$C$12))))-('Merkel Solver'!$C$4+'Cooling Tower &amp; Corrugated Fill'!$C$13*0.9*'Cooling Tower &amp; Corrugated Fill'!$C$12)</f>
        <v/>
      </c>
      <c r="H21" s="22">
        <f>IF(MIN(D21:G21)&lt;=0,99999,'Cooling Tower &amp; Corrugated Fill'!$C$12/4*(1/D21+1/E21+1/F21+1/G21))</f>
        <v/>
      </c>
    </row>
    <row r="22">
      <c r="B22" s="30" t="n">
        <v>1.6</v>
      </c>
      <c r="C22" s="12">
        <f>'Dashboard'!$C$9+B22</f>
        <v/>
      </c>
      <c r="D22" s="14">
        <f>(0.24*((C22+0.1*'Cooling Tower &amp; Corrugated Fill'!$C$12))+0.62198*(0.61094*EXP(17.625*(((C22+0.1*'Cooling Tower &amp; Corrugated Fill'!$C$12))-32)/1.8/((((C22+0.1*'Cooling Tower &amp; Corrugated Fill'!$C$12))-32)/1.8+243.04)))/('Cooling Tower &amp; Corrugated Fill'!$C$14-(0.61094*EXP(17.625*(((C22+0.1*'Cooling Tower &amp; Corrugated Fill'!$C$12))-32)/1.8/((((C22+0.1*'Cooling Tower &amp; Corrugated Fill'!$C$12))-32)/1.8+243.04))))*(1061+0.444*((C22+0.1*'Cooling Tower &amp; Corrugated Fill'!$C$12))))-('Merkel Solver'!$C$4+'Cooling Tower &amp; Corrugated Fill'!$C$13*0.1*'Cooling Tower &amp; Corrugated Fill'!$C$12)</f>
        <v/>
      </c>
      <c r="E22" s="14">
        <f>(0.24*((C22+0.4*'Cooling Tower &amp; Corrugated Fill'!$C$12))+0.62198*(0.61094*EXP(17.625*(((C22+0.4*'Cooling Tower &amp; Corrugated Fill'!$C$12))-32)/1.8/((((C22+0.4*'Cooling Tower &amp; Corrugated Fill'!$C$12))-32)/1.8+243.04)))/('Cooling Tower &amp; Corrugated Fill'!$C$14-(0.61094*EXP(17.625*(((C22+0.4*'Cooling Tower &amp; Corrugated Fill'!$C$12))-32)/1.8/((((C22+0.4*'Cooling Tower &amp; Corrugated Fill'!$C$12))-32)/1.8+243.04))))*(1061+0.444*((C22+0.4*'Cooling Tower &amp; Corrugated Fill'!$C$12))))-('Merkel Solver'!$C$4+'Cooling Tower &amp; Corrugated Fill'!$C$13*0.4*'Cooling Tower &amp; Corrugated Fill'!$C$12)</f>
        <v/>
      </c>
      <c r="F22" s="14">
        <f>(0.24*((C22+0.6*'Cooling Tower &amp; Corrugated Fill'!$C$12))+0.62198*(0.61094*EXP(17.625*(((C22+0.6*'Cooling Tower &amp; Corrugated Fill'!$C$12))-32)/1.8/((((C22+0.6*'Cooling Tower &amp; Corrugated Fill'!$C$12))-32)/1.8+243.04)))/('Cooling Tower &amp; Corrugated Fill'!$C$14-(0.61094*EXP(17.625*(((C22+0.6*'Cooling Tower &amp; Corrugated Fill'!$C$12))-32)/1.8/((((C22+0.6*'Cooling Tower &amp; Corrugated Fill'!$C$12))-32)/1.8+243.04))))*(1061+0.444*((C22+0.6*'Cooling Tower &amp; Corrugated Fill'!$C$12))))-('Merkel Solver'!$C$4+'Cooling Tower &amp; Corrugated Fill'!$C$13*0.6*'Cooling Tower &amp; Corrugated Fill'!$C$12)</f>
        <v/>
      </c>
      <c r="G22" s="14">
        <f>(0.24*((C22+0.9*'Cooling Tower &amp; Corrugated Fill'!$C$12))+0.62198*(0.61094*EXP(17.625*(((C22+0.9*'Cooling Tower &amp; Corrugated Fill'!$C$12))-32)/1.8/((((C22+0.9*'Cooling Tower &amp; Corrugated Fill'!$C$12))-32)/1.8+243.04)))/('Cooling Tower &amp; Corrugated Fill'!$C$14-(0.61094*EXP(17.625*(((C22+0.9*'Cooling Tower &amp; Corrugated Fill'!$C$12))-32)/1.8/((((C22+0.9*'Cooling Tower &amp; Corrugated Fill'!$C$12))-32)/1.8+243.04))))*(1061+0.444*((C22+0.9*'Cooling Tower &amp; Corrugated Fill'!$C$12))))-('Merkel Solver'!$C$4+'Cooling Tower &amp; Corrugated Fill'!$C$13*0.9*'Cooling Tower &amp; Corrugated Fill'!$C$12)</f>
        <v/>
      </c>
      <c r="H22" s="22">
        <f>IF(MIN(D22:G22)&lt;=0,99999,'Cooling Tower &amp; Corrugated Fill'!$C$12/4*(1/D22+1/E22+1/F22+1/G22))</f>
        <v/>
      </c>
    </row>
    <row r="23">
      <c r="B23" s="30" t="n">
        <v>1.7</v>
      </c>
      <c r="C23" s="12">
        <f>'Dashboard'!$C$9+B23</f>
        <v/>
      </c>
      <c r="D23" s="14">
        <f>(0.24*((C23+0.1*'Cooling Tower &amp; Corrugated Fill'!$C$12))+0.62198*(0.61094*EXP(17.625*(((C23+0.1*'Cooling Tower &amp; Corrugated Fill'!$C$12))-32)/1.8/((((C23+0.1*'Cooling Tower &amp; Corrugated Fill'!$C$12))-32)/1.8+243.04)))/('Cooling Tower &amp; Corrugated Fill'!$C$14-(0.61094*EXP(17.625*(((C23+0.1*'Cooling Tower &amp; Corrugated Fill'!$C$12))-32)/1.8/((((C23+0.1*'Cooling Tower &amp; Corrugated Fill'!$C$12))-32)/1.8+243.04))))*(1061+0.444*((C23+0.1*'Cooling Tower &amp; Corrugated Fill'!$C$12))))-('Merkel Solver'!$C$4+'Cooling Tower &amp; Corrugated Fill'!$C$13*0.1*'Cooling Tower &amp; Corrugated Fill'!$C$12)</f>
        <v/>
      </c>
      <c r="E23" s="14">
        <f>(0.24*((C23+0.4*'Cooling Tower &amp; Corrugated Fill'!$C$12))+0.62198*(0.61094*EXP(17.625*(((C23+0.4*'Cooling Tower &amp; Corrugated Fill'!$C$12))-32)/1.8/((((C23+0.4*'Cooling Tower &amp; Corrugated Fill'!$C$12))-32)/1.8+243.04)))/('Cooling Tower &amp; Corrugated Fill'!$C$14-(0.61094*EXP(17.625*(((C23+0.4*'Cooling Tower &amp; Corrugated Fill'!$C$12))-32)/1.8/((((C23+0.4*'Cooling Tower &amp; Corrugated Fill'!$C$12))-32)/1.8+243.04))))*(1061+0.444*((C23+0.4*'Cooling Tower &amp; Corrugated Fill'!$C$12))))-('Merkel Solver'!$C$4+'Cooling Tower &amp; Corrugated Fill'!$C$13*0.4*'Cooling Tower &amp; Corrugated Fill'!$C$12)</f>
        <v/>
      </c>
      <c r="F23" s="14">
        <f>(0.24*((C23+0.6*'Cooling Tower &amp; Corrugated Fill'!$C$12))+0.62198*(0.61094*EXP(17.625*(((C23+0.6*'Cooling Tower &amp; Corrugated Fill'!$C$12))-32)/1.8/((((C23+0.6*'Cooling Tower &amp; Corrugated Fill'!$C$12))-32)/1.8+243.04)))/('Cooling Tower &amp; Corrugated Fill'!$C$14-(0.61094*EXP(17.625*(((C23+0.6*'Cooling Tower &amp; Corrugated Fill'!$C$12))-32)/1.8/((((C23+0.6*'Cooling Tower &amp; Corrugated Fill'!$C$12))-32)/1.8+243.04))))*(1061+0.444*((C23+0.6*'Cooling Tower &amp; Corrugated Fill'!$C$12))))-('Merkel Solver'!$C$4+'Cooling Tower &amp; Corrugated Fill'!$C$13*0.6*'Cooling Tower &amp; Corrugated Fill'!$C$12)</f>
        <v/>
      </c>
      <c r="G23" s="14">
        <f>(0.24*((C23+0.9*'Cooling Tower &amp; Corrugated Fill'!$C$12))+0.62198*(0.61094*EXP(17.625*(((C23+0.9*'Cooling Tower &amp; Corrugated Fill'!$C$12))-32)/1.8/((((C23+0.9*'Cooling Tower &amp; Corrugated Fill'!$C$12))-32)/1.8+243.04)))/('Cooling Tower &amp; Corrugated Fill'!$C$14-(0.61094*EXP(17.625*(((C23+0.9*'Cooling Tower &amp; Corrugated Fill'!$C$12))-32)/1.8/((((C23+0.9*'Cooling Tower &amp; Corrugated Fill'!$C$12))-32)/1.8+243.04))))*(1061+0.444*((C23+0.9*'Cooling Tower &amp; Corrugated Fill'!$C$12))))-('Merkel Solver'!$C$4+'Cooling Tower &amp; Corrugated Fill'!$C$13*0.9*'Cooling Tower &amp; Corrugated Fill'!$C$12)</f>
        <v/>
      </c>
      <c r="H23" s="22">
        <f>IF(MIN(D23:G23)&lt;=0,99999,'Cooling Tower &amp; Corrugated Fill'!$C$12/4*(1/D23+1/E23+1/F23+1/G23))</f>
        <v/>
      </c>
    </row>
    <row r="24">
      <c r="B24" s="30" t="n">
        <v>1.8</v>
      </c>
      <c r="C24" s="12">
        <f>'Dashboard'!$C$9+B24</f>
        <v/>
      </c>
      <c r="D24" s="14">
        <f>(0.24*((C24+0.1*'Cooling Tower &amp; Corrugated Fill'!$C$12))+0.62198*(0.61094*EXP(17.625*(((C24+0.1*'Cooling Tower &amp; Corrugated Fill'!$C$12))-32)/1.8/((((C24+0.1*'Cooling Tower &amp; Corrugated Fill'!$C$12))-32)/1.8+243.04)))/('Cooling Tower &amp; Corrugated Fill'!$C$14-(0.61094*EXP(17.625*(((C24+0.1*'Cooling Tower &amp; Corrugated Fill'!$C$12))-32)/1.8/((((C24+0.1*'Cooling Tower &amp; Corrugated Fill'!$C$12))-32)/1.8+243.04))))*(1061+0.444*((C24+0.1*'Cooling Tower &amp; Corrugated Fill'!$C$12))))-('Merkel Solver'!$C$4+'Cooling Tower &amp; Corrugated Fill'!$C$13*0.1*'Cooling Tower &amp; Corrugated Fill'!$C$12)</f>
        <v/>
      </c>
      <c r="E24" s="14">
        <f>(0.24*((C24+0.4*'Cooling Tower &amp; Corrugated Fill'!$C$12))+0.62198*(0.61094*EXP(17.625*(((C24+0.4*'Cooling Tower &amp; Corrugated Fill'!$C$12))-32)/1.8/((((C24+0.4*'Cooling Tower &amp; Corrugated Fill'!$C$12))-32)/1.8+243.04)))/('Cooling Tower &amp; Corrugated Fill'!$C$14-(0.61094*EXP(17.625*(((C24+0.4*'Cooling Tower &amp; Corrugated Fill'!$C$12))-32)/1.8/((((C24+0.4*'Cooling Tower &amp; Corrugated Fill'!$C$12))-32)/1.8+243.04))))*(1061+0.444*((C24+0.4*'Cooling Tower &amp; Corrugated Fill'!$C$12))))-('Merkel Solver'!$C$4+'Cooling Tower &amp; Corrugated Fill'!$C$13*0.4*'Cooling Tower &amp; Corrugated Fill'!$C$12)</f>
        <v/>
      </c>
      <c r="F24" s="14">
        <f>(0.24*((C24+0.6*'Cooling Tower &amp; Corrugated Fill'!$C$12))+0.62198*(0.61094*EXP(17.625*(((C24+0.6*'Cooling Tower &amp; Corrugated Fill'!$C$12))-32)/1.8/((((C24+0.6*'Cooling Tower &amp; Corrugated Fill'!$C$12))-32)/1.8+243.04)))/('Cooling Tower &amp; Corrugated Fill'!$C$14-(0.61094*EXP(17.625*(((C24+0.6*'Cooling Tower &amp; Corrugated Fill'!$C$12))-32)/1.8/((((C24+0.6*'Cooling Tower &amp; Corrugated Fill'!$C$12))-32)/1.8+243.04))))*(1061+0.444*((C24+0.6*'Cooling Tower &amp; Corrugated Fill'!$C$12))))-('Merkel Solver'!$C$4+'Cooling Tower &amp; Corrugated Fill'!$C$13*0.6*'Cooling Tower &amp; Corrugated Fill'!$C$12)</f>
        <v/>
      </c>
      <c r="G24" s="14">
        <f>(0.24*((C24+0.9*'Cooling Tower &amp; Corrugated Fill'!$C$12))+0.62198*(0.61094*EXP(17.625*(((C24+0.9*'Cooling Tower &amp; Corrugated Fill'!$C$12))-32)/1.8/((((C24+0.9*'Cooling Tower &amp; Corrugated Fill'!$C$12))-32)/1.8+243.04)))/('Cooling Tower &amp; Corrugated Fill'!$C$14-(0.61094*EXP(17.625*(((C24+0.9*'Cooling Tower &amp; Corrugated Fill'!$C$12))-32)/1.8/((((C24+0.9*'Cooling Tower &amp; Corrugated Fill'!$C$12))-32)/1.8+243.04))))*(1061+0.444*((C24+0.9*'Cooling Tower &amp; Corrugated Fill'!$C$12))))-('Merkel Solver'!$C$4+'Cooling Tower &amp; Corrugated Fill'!$C$13*0.9*'Cooling Tower &amp; Corrugated Fill'!$C$12)</f>
        <v/>
      </c>
      <c r="H24" s="22">
        <f>IF(MIN(D24:G24)&lt;=0,99999,'Cooling Tower &amp; Corrugated Fill'!$C$12/4*(1/D24+1/E24+1/F24+1/G24))</f>
        <v/>
      </c>
    </row>
    <row r="25">
      <c r="B25" s="30" t="n">
        <v>1.9</v>
      </c>
      <c r="C25" s="12">
        <f>'Dashboard'!$C$9+B25</f>
        <v/>
      </c>
      <c r="D25" s="14">
        <f>(0.24*((C25+0.1*'Cooling Tower &amp; Corrugated Fill'!$C$12))+0.62198*(0.61094*EXP(17.625*(((C25+0.1*'Cooling Tower &amp; Corrugated Fill'!$C$12))-32)/1.8/((((C25+0.1*'Cooling Tower &amp; Corrugated Fill'!$C$12))-32)/1.8+243.04)))/('Cooling Tower &amp; Corrugated Fill'!$C$14-(0.61094*EXP(17.625*(((C25+0.1*'Cooling Tower &amp; Corrugated Fill'!$C$12))-32)/1.8/((((C25+0.1*'Cooling Tower &amp; Corrugated Fill'!$C$12))-32)/1.8+243.04))))*(1061+0.444*((C25+0.1*'Cooling Tower &amp; Corrugated Fill'!$C$12))))-('Merkel Solver'!$C$4+'Cooling Tower &amp; Corrugated Fill'!$C$13*0.1*'Cooling Tower &amp; Corrugated Fill'!$C$12)</f>
        <v/>
      </c>
      <c r="E25" s="14">
        <f>(0.24*((C25+0.4*'Cooling Tower &amp; Corrugated Fill'!$C$12))+0.62198*(0.61094*EXP(17.625*(((C25+0.4*'Cooling Tower &amp; Corrugated Fill'!$C$12))-32)/1.8/((((C25+0.4*'Cooling Tower &amp; Corrugated Fill'!$C$12))-32)/1.8+243.04)))/('Cooling Tower &amp; Corrugated Fill'!$C$14-(0.61094*EXP(17.625*(((C25+0.4*'Cooling Tower &amp; Corrugated Fill'!$C$12))-32)/1.8/((((C25+0.4*'Cooling Tower &amp; Corrugated Fill'!$C$12))-32)/1.8+243.04))))*(1061+0.444*((C25+0.4*'Cooling Tower &amp; Corrugated Fill'!$C$12))))-('Merkel Solver'!$C$4+'Cooling Tower &amp; Corrugated Fill'!$C$13*0.4*'Cooling Tower &amp; Corrugated Fill'!$C$12)</f>
        <v/>
      </c>
      <c r="F25" s="14">
        <f>(0.24*((C25+0.6*'Cooling Tower &amp; Corrugated Fill'!$C$12))+0.62198*(0.61094*EXP(17.625*(((C25+0.6*'Cooling Tower &amp; Corrugated Fill'!$C$12))-32)/1.8/((((C25+0.6*'Cooling Tower &amp; Corrugated Fill'!$C$12))-32)/1.8+243.04)))/('Cooling Tower &amp; Corrugated Fill'!$C$14-(0.61094*EXP(17.625*(((C25+0.6*'Cooling Tower &amp; Corrugated Fill'!$C$12))-32)/1.8/((((C25+0.6*'Cooling Tower &amp; Corrugated Fill'!$C$12))-32)/1.8+243.04))))*(1061+0.444*((C25+0.6*'Cooling Tower &amp; Corrugated Fill'!$C$12))))-('Merkel Solver'!$C$4+'Cooling Tower &amp; Corrugated Fill'!$C$13*0.6*'Cooling Tower &amp; Corrugated Fill'!$C$12)</f>
        <v/>
      </c>
      <c r="G25" s="14">
        <f>(0.24*((C25+0.9*'Cooling Tower &amp; Corrugated Fill'!$C$12))+0.62198*(0.61094*EXP(17.625*(((C25+0.9*'Cooling Tower &amp; Corrugated Fill'!$C$12))-32)/1.8/((((C25+0.9*'Cooling Tower &amp; Corrugated Fill'!$C$12))-32)/1.8+243.04)))/('Cooling Tower &amp; Corrugated Fill'!$C$14-(0.61094*EXP(17.625*(((C25+0.9*'Cooling Tower &amp; Corrugated Fill'!$C$12))-32)/1.8/((((C25+0.9*'Cooling Tower &amp; Corrugated Fill'!$C$12))-32)/1.8+243.04))))*(1061+0.444*((C25+0.9*'Cooling Tower &amp; Corrugated Fill'!$C$12))))-('Merkel Solver'!$C$4+'Cooling Tower &amp; Corrugated Fill'!$C$13*0.9*'Cooling Tower &amp; Corrugated Fill'!$C$12)</f>
        <v/>
      </c>
      <c r="H25" s="22">
        <f>IF(MIN(D25:G25)&lt;=0,99999,'Cooling Tower &amp; Corrugated Fill'!$C$12/4*(1/D25+1/E25+1/F25+1/G25))</f>
        <v/>
      </c>
    </row>
    <row r="26">
      <c r="B26" s="30" t="n">
        <v>2</v>
      </c>
      <c r="C26" s="12">
        <f>'Dashboard'!$C$9+B26</f>
        <v/>
      </c>
      <c r="D26" s="14">
        <f>(0.24*((C26+0.1*'Cooling Tower &amp; Corrugated Fill'!$C$12))+0.62198*(0.61094*EXP(17.625*(((C26+0.1*'Cooling Tower &amp; Corrugated Fill'!$C$12))-32)/1.8/((((C26+0.1*'Cooling Tower &amp; Corrugated Fill'!$C$12))-32)/1.8+243.04)))/('Cooling Tower &amp; Corrugated Fill'!$C$14-(0.61094*EXP(17.625*(((C26+0.1*'Cooling Tower &amp; Corrugated Fill'!$C$12))-32)/1.8/((((C26+0.1*'Cooling Tower &amp; Corrugated Fill'!$C$12))-32)/1.8+243.04))))*(1061+0.444*((C26+0.1*'Cooling Tower &amp; Corrugated Fill'!$C$12))))-('Merkel Solver'!$C$4+'Cooling Tower &amp; Corrugated Fill'!$C$13*0.1*'Cooling Tower &amp; Corrugated Fill'!$C$12)</f>
        <v/>
      </c>
      <c r="E26" s="14">
        <f>(0.24*((C26+0.4*'Cooling Tower &amp; Corrugated Fill'!$C$12))+0.62198*(0.61094*EXP(17.625*(((C26+0.4*'Cooling Tower &amp; Corrugated Fill'!$C$12))-32)/1.8/((((C26+0.4*'Cooling Tower &amp; Corrugated Fill'!$C$12))-32)/1.8+243.04)))/('Cooling Tower &amp; Corrugated Fill'!$C$14-(0.61094*EXP(17.625*(((C26+0.4*'Cooling Tower &amp; Corrugated Fill'!$C$12))-32)/1.8/((((C26+0.4*'Cooling Tower &amp; Corrugated Fill'!$C$12))-32)/1.8+243.04))))*(1061+0.444*((C26+0.4*'Cooling Tower &amp; Corrugated Fill'!$C$12))))-('Merkel Solver'!$C$4+'Cooling Tower &amp; Corrugated Fill'!$C$13*0.4*'Cooling Tower &amp; Corrugated Fill'!$C$12)</f>
        <v/>
      </c>
      <c r="F26" s="14">
        <f>(0.24*((C26+0.6*'Cooling Tower &amp; Corrugated Fill'!$C$12))+0.62198*(0.61094*EXP(17.625*(((C26+0.6*'Cooling Tower &amp; Corrugated Fill'!$C$12))-32)/1.8/((((C26+0.6*'Cooling Tower &amp; Corrugated Fill'!$C$12))-32)/1.8+243.04)))/('Cooling Tower &amp; Corrugated Fill'!$C$14-(0.61094*EXP(17.625*(((C26+0.6*'Cooling Tower &amp; Corrugated Fill'!$C$12))-32)/1.8/((((C26+0.6*'Cooling Tower &amp; Corrugated Fill'!$C$12))-32)/1.8+243.04))))*(1061+0.444*((C26+0.6*'Cooling Tower &amp; Corrugated Fill'!$C$12))))-('Merkel Solver'!$C$4+'Cooling Tower &amp; Corrugated Fill'!$C$13*0.6*'Cooling Tower &amp; Corrugated Fill'!$C$12)</f>
        <v/>
      </c>
      <c r="G26" s="14">
        <f>(0.24*((C26+0.9*'Cooling Tower &amp; Corrugated Fill'!$C$12))+0.62198*(0.61094*EXP(17.625*(((C26+0.9*'Cooling Tower &amp; Corrugated Fill'!$C$12))-32)/1.8/((((C26+0.9*'Cooling Tower &amp; Corrugated Fill'!$C$12))-32)/1.8+243.04)))/('Cooling Tower &amp; Corrugated Fill'!$C$14-(0.61094*EXP(17.625*(((C26+0.9*'Cooling Tower &amp; Corrugated Fill'!$C$12))-32)/1.8/((((C26+0.9*'Cooling Tower &amp; Corrugated Fill'!$C$12))-32)/1.8+243.04))))*(1061+0.444*((C26+0.9*'Cooling Tower &amp; Corrugated Fill'!$C$12))))-('Merkel Solver'!$C$4+'Cooling Tower &amp; Corrugated Fill'!$C$13*0.9*'Cooling Tower &amp; Corrugated Fill'!$C$12)</f>
        <v/>
      </c>
      <c r="H26" s="22">
        <f>IF(MIN(D26:G26)&lt;=0,99999,'Cooling Tower &amp; Corrugated Fill'!$C$12/4*(1/D26+1/E26+1/F26+1/G26))</f>
        <v/>
      </c>
    </row>
    <row r="27">
      <c r="B27" s="30" t="n">
        <v>2.1</v>
      </c>
      <c r="C27" s="12">
        <f>'Dashboard'!$C$9+B27</f>
        <v/>
      </c>
      <c r="D27" s="14">
        <f>(0.24*((C27+0.1*'Cooling Tower &amp; Corrugated Fill'!$C$12))+0.62198*(0.61094*EXP(17.625*(((C27+0.1*'Cooling Tower &amp; Corrugated Fill'!$C$12))-32)/1.8/((((C27+0.1*'Cooling Tower &amp; Corrugated Fill'!$C$12))-32)/1.8+243.04)))/('Cooling Tower &amp; Corrugated Fill'!$C$14-(0.61094*EXP(17.625*(((C27+0.1*'Cooling Tower &amp; Corrugated Fill'!$C$12))-32)/1.8/((((C27+0.1*'Cooling Tower &amp; Corrugated Fill'!$C$12))-32)/1.8+243.04))))*(1061+0.444*((C27+0.1*'Cooling Tower &amp; Corrugated Fill'!$C$12))))-('Merkel Solver'!$C$4+'Cooling Tower &amp; Corrugated Fill'!$C$13*0.1*'Cooling Tower &amp; Corrugated Fill'!$C$12)</f>
        <v/>
      </c>
      <c r="E27" s="14">
        <f>(0.24*((C27+0.4*'Cooling Tower &amp; Corrugated Fill'!$C$12))+0.62198*(0.61094*EXP(17.625*(((C27+0.4*'Cooling Tower &amp; Corrugated Fill'!$C$12))-32)/1.8/((((C27+0.4*'Cooling Tower &amp; Corrugated Fill'!$C$12))-32)/1.8+243.04)))/('Cooling Tower &amp; Corrugated Fill'!$C$14-(0.61094*EXP(17.625*(((C27+0.4*'Cooling Tower &amp; Corrugated Fill'!$C$12))-32)/1.8/((((C27+0.4*'Cooling Tower &amp; Corrugated Fill'!$C$12))-32)/1.8+243.04))))*(1061+0.444*((C27+0.4*'Cooling Tower &amp; Corrugated Fill'!$C$12))))-('Merkel Solver'!$C$4+'Cooling Tower &amp; Corrugated Fill'!$C$13*0.4*'Cooling Tower &amp; Corrugated Fill'!$C$12)</f>
        <v/>
      </c>
      <c r="F27" s="14">
        <f>(0.24*((C27+0.6*'Cooling Tower &amp; Corrugated Fill'!$C$12))+0.62198*(0.61094*EXP(17.625*(((C27+0.6*'Cooling Tower &amp; Corrugated Fill'!$C$12))-32)/1.8/((((C27+0.6*'Cooling Tower &amp; Corrugated Fill'!$C$12))-32)/1.8+243.04)))/('Cooling Tower &amp; Corrugated Fill'!$C$14-(0.61094*EXP(17.625*(((C27+0.6*'Cooling Tower &amp; Corrugated Fill'!$C$12))-32)/1.8/((((C27+0.6*'Cooling Tower &amp; Corrugated Fill'!$C$12))-32)/1.8+243.04))))*(1061+0.444*((C27+0.6*'Cooling Tower &amp; Corrugated Fill'!$C$12))))-('Merkel Solver'!$C$4+'Cooling Tower &amp; Corrugated Fill'!$C$13*0.6*'Cooling Tower &amp; Corrugated Fill'!$C$12)</f>
        <v/>
      </c>
      <c r="G27" s="14">
        <f>(0.24*((C27+0.9*'Cooling Tower &amp; Corrugated Fill'!$C$12))+0.62198*(0.61094*EXP(17.625*(((C27+0.9*'Cooling Tower &amp; Corrugated Fill'!$C$12))-32)/1.8/((((C27+0.9*'Cooling Tower &amp; Corrugated Fill'!$C$12))-32)/1.8+243.04)))/('Cooling Tower &amp; Corrugated Fill'!$C$14-(0.61094*EXP(17.625*(((C27+0.9*'Cooling Tower &amp; Corrugated Fill'!$C$12))-32)/1.8/((((C27+0.9*'Cooling Tower &amp; Corrugated Fill'!$C$12))-32)/1.8+243.04))))*(1061+0.444*((C27+0.9*'Cooling Tower &amp; Corrugated Fill'!$C$12))))-('Merkel Solver'!$C$4+'Cooling Tower &amp; Corrugated Fill'!$C$13*0.9*'Cooling Tower &amp; Corrugated Fill'!$C$12)</f>
        <v/>
      </c>
      <c r="H27" s="22">
        <f>IF(MIN(D27:G27)&lt;=0,99999,'Cooling Tower &amp; Corrugated Fill'!$C$12/4*(1/D27+1/E27+1/F27+1/G27))</f>
        <v/>
      </c>
    </row>
    <row r="28">
      <c r="B28" s="30" t="n">
        <v>2.2</v>
      </c>
      <c r="C28" s="12">
        <f>'Dashboard'!$C$9+B28</f>
        <v/>
      </c>
      <c r="D28" s="14">
        <f>(0.24*((C28+0.1*'Cooling Tower &amp; Corrugated Fill'!$C$12))+0.62198*(0.61094*EXP(17.625*(((C28+0.1*'Cooling Tower &amp; Corrugated Fill'!$C$12))-32)/1.8/((((C28+0.1*'Cooling Tower &amp; Corrugated Fill'!$C$12))-32)/1.8+243.04)))/('Cooling Tower &amp; Corrugated Fill'!$C$14-(0.61094*EXP(17.625*(((C28+0.1*'Cooling Tower &amp; Corrugated Fill'!$C$12))-32)/1.8/((((C28+0.1*'Cooling Tower &amp; Corrugated Fill'!$C$12))-32)/1.8+243.04))))*(1061+0.444*((C28+0.1*'Cooling Tower &amp; Corrugated Fill'!$C$12))))-('Merkel Solver'!$C$4+'Cooling Tower &amp; Corrugated Fill'!$C$13*0.1*'Cooling Tower &amp; Corrugated Fill'!$C$12)</f>
        <v/>
      </c>
      <c r="E28" s="14">
        <f>(0.24*((C28+0.4*'Cooling Tower &amp; Corrugated Fill'!$C$12))+0.62198*(0.61094*EXP(17.625*(((C28+0.4*'Cooling Tower &amp; Corrugated Fill'!$C$12))-32)/1.8/((((C28+0.4*'Cooling Tower &amp; Corrugated Fill'!$C$12))-32)/1.8+243.04)))/('Cooling Tower &amp; Corrugated Fill'!$C$14-(0.61094*EXP(17.625*(((C28+0.4*'Cooling Tower &amp; Corrugated Fill'!$C$12))-32)/1.8/((((C28+0.4*'Cooling Tower &amp; Corrugated Fill'!$C$12))-32)/1.8+243.04))))*(1061+0.444*((C28+0.4*'Cooling Tower &amp; Corrugated Fill'!$C$12))))-('Merkel Solver'!$C$4+'Cooling Tower &amp; Corrugated Fill'!$C$13*0.4*'Cooling Tower &amp; Corrugated Fill'!$C$12)</f>
        <v/>
      </c>
      <c r="F28" s="14">
        <f>(0.24*((C28+0.6*'Cooling Tower &amp; Corrugated Fill'!$C$12))+0.62198*(0.61094*EXP(17.625*(((C28+0.6*'Cooling Tower &amp; Corrugated Fill'!$C$12))-32)/1.8/((((C28+0.6*'Cooling Tower &amp; Corrugated Fill'!$C$12))-32)/1.8+243.04)))/('Cooling Tower &amp; Corrugated Fill'!$C$14-(0.61094*EXP(17.625*(((C28+0.6*'Cooling Tower &amp; Corrugated Fill'!$C$12))-32)/1.8/((((C28+0.6*'Cooling Tower &amp; Corrugated Fill'!$C$12))-32)/1.8+243.04))))*(1061+0.444*((C28+0.6*'Cooling Tower &amp; Corrugated Fill'!$C$12))))-('Merkel Solver'!$C$4+'Cooling Tower &amp; Corrugated Fill'!$C$13*0.6*'Cooling Tower &amp; Corrugated Fill'!$C$12)</f>
        <v/>
      </c>
      <c r="G28" s="14">
        <f>(0.24*((C28+0.9*'Cooling Tower &amp; Corrugated Fill'!$C$12))+0.62198*(0.61094*EXP(17.625*(((C28+0.9*'Cooling Tower &amp; Corrugated Fill'!$C$12))-32)/1.8/((((C28+0.9*'Cooling Tower &amp; Corrugated Fill'!$C$12))-32)/1.8+243.04)))/('Cooling Tower &amp; Corrugated Fill'!$C$14-(0.61094*EXP(17.625*(((C28+0.9*'Cooling Tower &amp; Corrugated Fill'!$C$12))-32)/1.8/((((C28+0.9*'Cooling Tower &amp; Corrugated Fill'!$C$12))-32)/1.8+243.04))))*(1061+0.444*((C28+0.9*'Cooling Tower &amp; Corrugated Fill'!$C$12))))-('Merkel Solver'!$C$4+'Cooling Tower &amp; Corrugated Fill'!$C$13*0.9*'Cooling Tower &amp; Corrugated Fill'!$C$12)</f>
        <v/>
      </c>
      <c r="H28" s="22">
        <f>IF(MIN(D28:G28)&lt;=0,99999,'Cooling Tower &amp; Corrugated Fill'!$C$12/4*(1/D28+1/E28+1/F28+1/G28))</f>
        <v/>
      </c>
    </row>
    <row r="29">
      <c r="B29" s="30" t="n">
        <v>2.3</v>
      </c>
      <c r="C29" s="12">
        <f>'Dashboard'!$C$9+B29</f>
        <v/>
      </c>
      <c r="D29" s="14">
        <f>(0.24*((C29+0.1*'Cooling Tower &amp; Corrugated Fill'!$C$12))+0.62198*(0.61094*EXP(17.625*(((C29+0.1*'Cooling Tower &amp; Corrugated Fill'!$C$12))-32)/1.8/((((C29+0.1*'Cooling Tower &amp; Corrugated Fill'!$C$12))-32)/1.8+243.04)))/('Cooling Tower &amp; Corrugated Fill'!$C$14-(0.61094*EXP(17.625*(((C29+0.1*'Cooling Tower &amp; Corrugated Fill'!$C$12))-32)/1.8/((((C29+0.1*'Cooling Tower &amp; Corrugated Fill'!$C$12))-32)/1.8+243.04))))*(1061+0.444*((C29+0.1*'Cooling Tower &amp; Corrugated Fill'!$C$12))))-('Merkel Solver'!$C$4+'Cooling Tower &amp; Corrugated Fill'!$C$13*0.1*'Cooling Tower &amp; Corrugated Fill'!$C$12)</f>
        <v/>
      </c>
      <c r="E29" s="14">
        <f>(0.24*((C29+0.4*'Cooling Tower &amp; Corrugated Fill'!$C$12))+0.62198*(0.61094*EXP(17.625*(((C29+0.4*'Cooling Tower &amp; Corrugated Fill'!$C$12))-32)/1.8/((((C29+0.4*'Cooling Tower &amp; Corrugated Fill'!$C$12))-32)/1.8+243.04)))/('Cooling Tower &amp; Corrugated Fill'!$C$14-(0.61094*EXP(17.625*(((C29+0.4*'Cooling Tower &amp; Corrugated Fill'!$C$12))-32)/1.8/((((C29+0.4*'Cooling Tower &amp; Corrugated Fill'!$C$12))-32)/1.8+243.04))))*(1061+0.444*((C29+0.4*'Cooling Tower &amp; Corrugated Fill'!$C$12))))-('Merkel Solver'!$C$4+'Cooling Tower &amp; Corrugated Fill'!$C$13*0.4*'Cooling Tower &amp; Corrugated Fill'!$C$12)</f>
        <v/>
      </c>
      <c r="F29" s="14">
        <f>(0.24*((C29+0.6*'Cooling Tower &amp; Corrugated Fill'!$C$12))+0.62198*(0.61094*EXP(17.625*(((C29+0.6*'Cooling Tower &amp; Corrugated Fill'!$C$12))-32)/1.8/((((C29+0.6*'Cooling Tower &amp; Corrugated Fill'!$C$12))-32)/1.8+243.04)))/('Cooling Tower &amp; Corrugated Fill'!$C$14-(0.61094*EXP(17.625*(((C29+0.6*'Cooling Tower &amp; Corrugated Fill'!$C$12))-32)/1.8/((((C29+0.6*'Cooling Tower &amp; Corrugated Fill'!$C$12))-32)/1.8+243.04))))*(1061+0.444*((C29+0.6*'Cooling Tower &amp; Corrugated Fill'!$C$12))))-('Merkel Solver'!$C$4+'Cooling Tower &amp; Corrugated Fill'!$C$13*0.6*'Cooling Tower &amp; Corrugated Fill'!$C$12)</f>
        <v/>
      </c>
      <c r="G29" s="14">
        <f>(0.24*((C29+0.9*'Cooling Tower &amp; Corrugated Fill'!$C$12))+0.62198*(0.61094*EXP(17.625*(((C29+0.9*'Cooling Tower &amp; Corrugated Fill'!$C$12))-32)/1.8/((((C29+0.9*'Cooling Tower &amp; Corrugated Fill'!$C$12))-32)/1.8+243.04)))/('Cooling Tower &amp; Corrugated Fill'!$C$14-(0.61094*EXP(17.625*(((C29+0.9*'Cooling Tower &amp; Corrugated Fill'!$C$12))-32)/1.8/((((C29+0.9*'Cooling Tower &amp; Corrugated Fill'!$C$12))-32)/1.8+243.04))))*(1061+0.444*((C29+0.9*'Cooling Tower &amp; Corrugated Fill'!$C$12))))-('Merkel Solver'!$C$4+'Cooling Tower &amp; Corrugated Fill'!$C$13*0.9*'Cooling Tower &amp; Corrugated Fill'!$C$12)</f>
        <v/>
      </c>
      <c r="H29" s="22">
        <f>IF(MIN(D29:G29)&lt;=0,99999,'Cooling Tower &amp; Corrugated Fill'!$C$12/4*(1/D29+1/E29+1/F29+1/G29))</f>
        <v/>
      </c>
    </row>
    <row r="30">
      <c r="B30" s="30" t="n">
        <v>2.4</v>
      </c>
      <c r="C30" s="12">
        <f>'Dashboard'!$C$9+B30</f>
        <v/>
      </c>
      <c r="D30" s="14">
        <f>(0.24*((C30+0.1*'Cooling Tower &amp; Corrugated Fill'!$C$12))+0.62198*(0.61094*EXP(17.625*(((C30+0.1*'Cooling Tower &amp; Corrugated Fill'!$C$12))-32)/1.8/((((C30+0.1*'Cooling Tower &amp; Corrugated Fill'!$C$12))-32)/1.8+243.04)))/('Cooling Tower &amp; Corrugated Fill'!$C$14-(0.61094*EXP(17.625*(((C30+0.1*'Cooling Tower &amp; Corrugated Fill'!$C$12))-32)/1.8/((((C30+0.1*'Cooling Tower &amp; Corrugated Fill'!$C$12))-32)/1.8+243.04))))*(1061+0.444*((C30+0.1*'Cooling Tower &amp; Corrugated Fill'!$C$12))))-('Merkel Solver'!$C$4+'Cooling Tower &amp; Corrugated Fill'!$C$13*0.1*'Cooling Tower &amp; Corrugated Fill'!$C$12)</f>
        <v/>
      </c>
      <c r="E30" s="14">
        <f>(0.24*((C30+0.4*'Cooling Tower &amp; Corrugated Fill'!$C$12))+0.62198*(0.61094*EXP(17.625*(((C30+0.4*'Cooling Tower &amp; Corrugated Fill'!$C$12))-32)/1.8/((((C30+0.4*'Cooling Tower &amp; Corrugated Fill'!$C$12))-32)/1.8+243.04)))/('Cooling Tower &amp; Corrugated Fill'!$C$14-(0.61094*EXP(17.625*(((C30+0.4*'Cooling Tower &amp; Corrugated Fill'!$C$12))-32)/1.8/((((C30+0.4*'Cooling Tower &amp; Corrugated Fill'!$C$12))-32)/1.8+243.04))))*(1061+0.444*((C30+0.4*'Cooling Tower &amp; Corrugated Fill'!$C$12))))-('Merkel Solver'!$C$4+'Cooling Tower &amp; Corrugated Fill'!$C$13*0.4*'Cooling Tower &amp; Corrugated Fill'!$C$12)</f>
        <v/>
      </c>
      <c r="F30" s="14">
        <f>(0.24*((C30+0.6*'Cooling Tower &amp; Corrugated Fill'!$C$12))+0.62198*(0.61094*EXP(17.625*(((C30+0.6*'Cooling Tower &amp; Corrugated Fill'!$C$12))-32)/1.8/((((C30+0.6*'Cooling Tower &amp; Corrugated Fill'!$C$12))-32)/1.8+243.04)))/('Cooling Tower &amp; Corrugated Fill'!$C$14-(0.61094*EXP(17.625*(((C30+0.6*'Cooling Tower &amp; Corrugated Fill'!$C$12))-32)/1.8/((((C30+0.6*'Cooling Tower &amp; Corrugated Fill'!$C$12))-32)/1.8+243.04))))*(1061+0.444*((C30+0.6*'Cooling Tower &amp; Corrugated Fill'!$C$12))))-('Merkel Solver'!$C$4+'Cooling Tower &amp; Corrugated Fill'!$C$13*0.6*'Cooling Tower &amp; Corrugated Fill'!$C$12)</f>
        <v/>
      </c>
      <c r="G30" s="14">
        <f>(0.24*((C30+0.9*'Cooling Tower &amp; Corrugated Fill'!$C$12))+0.62198*(0.61094*EXP(17.625*(((C30+0.9*'Cooling Tower &amp; Corrugated Fill'!$C$12))-32)/1.8/((((C30+0.9*'Cooling Tower &amp; Corrugated Fill'!$C$12))-32)/1.8+243.04)))/('Cooling Tower &amp; Corrugated Fill'!$C$14-(0.61094*EXP(17.625*(((C30+0.9*'Cooling Tower &amp; Corrugated Fill'!$C$12))-32)/1.8/((((C30+0.9*'Cooling Tower &amp; Corrugated Fill'!$C$12))-32)/1.8+243.04))))*(1061+0.444*((C30+0.9*'Cooling Tower &amp; Corrugated Fill'!$C$12))))-('Merkel Solver'!$C$4+'Cooling Tower &amp; Corrugated Fill'!$C$13*0.9*'Cooling Tower &amp; Corrugated Fill'!$C$12)</f>
        <v/>
      </c>
      <c r="H30" s="22">
        <f>IF(MIN(D30:G30)&lt;=0,99999,'Cooling Tower &amp; Corrugated Fill'!$C$12/4*(1/D30+1/E30+1/F30+1/G30))</f>
        <v/>
      </c>
    </row>
    <row r="31">
      <c r="B31" s="30" t="n">
        <v>2.5</v>
      </c>
      <c r="C31" s="12">
        <f>'Dashboard'!$C$9+B31</f>
        <v/>
      </c>
      <c r="D31" s="14">
        <f>(0.24*((C31+0.1*'Cooling Tower &amp; Corrugated Fill'!$C$12))+0.62198*(0.61094*EXP(17.625*(((C31+0.1*'Cooling Tower &amp; Corrugated Fill'!$C$12))-32)/1.8/((((C31+0.1*'Cooling Tower &amp; Corrugated Fill'!$C$12))-32)/1.8+243.04)))/('Cooling Tower &amp; Corrugated Fill'!$C$14-(0.61094*EXP(17.625*(((C31+0.1*'Cooling Tower &amp; Corrugated Fill'!$C$12))-32)/1.8/((((C31+0.1*'Cooling Tower &amp; Corrugated Fill'!$C$12))-32)/1.8+243.04))))*(1061+0.444*((C31+0.1*'Cooling Tower &amp; Corrugated Fill'!$C$12))))-('Merkel Solver'!$C$4+'Cooling Tower &amp; Corrugated Fill'!$C$13*0.1*'Cooling Tower &amp; Corrugated Fill'!$C$12)</f>
        <v/>
      </c>
      <c r="E31" s="14">
        <f>(0.24*((C31+0.4*'Cooling Tower &amp; Corrugated Fill'!$C$12))+0.62198*(0.61094*EXP(17.625*(((C31+0.4*'Cooling Tower &amp; Corrugated Fill'!$C$12))-32)/1.8/((((C31+0.4*'Cooling Tower &amp; Corrugated Fill'!$C$12))-32)/1.8+243.04)))/('Cooling Tower &amp; Corrugated Fill'!$C$14-(0.61094*EXP(17.625*(((C31+0.4*'Cooling Tower &amp; Corrugated Fill'!$C$12))-32)/1.8/((((C31+0.4*'Cooling Tower &amp; Corrugated Fill'!$C$12))-32)/1.8+243.04))))*(1061+0.444*((C31+0.4*'Cooling Tower &amp; Corrugated Fill'!$C$12))))-('Merkel Solver'!$C$4+'Cooling Tower &amp; Corrugated Fill'!$C$13*0.4*'Cooling Tower &amp; Corrugated Fill'!$C$12)</f>
        <v/>
      </c>
      <c r="F31" s="14">
        <f>(0.24*((C31+0.6*'Cooling Tower &amp; Corrugated Fill'!$C$12))+0.62198*(0.61094*EXP(17.625*(((C31+0.6*'Cooling Tower &amp; Corrugated Fill'!$C$12))-32)/1.8/((((C31+0.6*'Cooling Tower &amp; Corrugated Fill'!$C$12))-32)/1.8+243.04)))/('Cooling Tower &amp; Corrugated Fill'!$C$14-(0.61094*EXP(17.625*(((C31+0.6*'Cooling Tower &amp; Corrugated Fill'!$C$12))-32)/1.8/((((C31+0.6*'Cooling Tower &amp; Corrugated Fill'!$C$12))-32)/1.8+243.04))))*(1061+0.444*((C31+0.6*'Cooling Tower &amp; Corrugated Fill'!$C$12))))-('Merkel Solver'!$C$4+'Cooling Tower &amp; Corrugated Fill'!$C$13*0.6*'Cooling Tower &amp; Corrugated Fill'!$C$12)</f>
        <v/>
      </c>
      <c r="G31" s="14">
        <f>(0.24*((C31+0.9*'Cooling Tower &amp; Corrugated Fill'!$C$12))+0.62198*(0.61094*EXP(17.625*(((C31+0.9*'Cooling Tower &amp; Corrugated Fill'!$C$12))-32)/1.8/((((C31+0.9*'Cooling Tower &amp; Corrugated Fill'!$C$12))-32)/1.8+243.04)))/('Cooling Tower &amp; Corrugated Fill'!$C$14-(0.61094*EXP(17.625*(((C31+0.9*'Cooling Tower &amp; Corrugated Fill'!$C$12))-32)/1.8/((((C31+0.9*'Cooling Tower &amp; Corrugated Fill'!$C$12))-32)/1.8+243.04))))*(1061+0.444*((C31+0.9*'Cooling Tower &amp; Corrugated Fill'!$C$12))))-('Merkel Solver'!$C$4+'Cooling Tower &amp; Corrugated Fill'!$C$13*0.9*'Cooling Tower &amp; Corrugated Fill'!$C$12)</f>
        <v/>
      </c>
      <c r="H31" s="22">
        <f>IF(MIN(D31:G31)&lt;=0,99999,'Cooling Tower &amp; Corrugated Fill'!$C$12/4*(1/D31+1/E31+1/F31+1/G31))</f>
        <v/>
      </c>
    </row>
    <row r="32">
      <c r="B32" s="30" t="n">
        <v>2.6</v>
      </c>
      <c r="C32" s="12">
        <f>'Dashboard'!$C$9+B32</f>
        <v/>
      </c>
      <c r="D32" s="14">
        <f>(0.24*((C32+0.1*'Cooling Tower &amp; Corrugated Fill'!$C$12))+0.62198*(0.61094*EXP(17.625*(((C32+0.1*'Cooling Tower &amp; Corrugated Fill'!$C$12))-32)/1.8/((((C32+0.1*'Cooling Tower &amp; Corrugated Fill'!$C$12))-32)/1.8+243.04)))/('Cooling Tower &amp; Corrugated Fill'!$C$14-(0.61094*EXP(17.625*(((C32+0.1*'Cooling Tower &amp; Corrugated Fill'!$C$12))-32)/1.8/((((C32+0.1*'Cooling Tower &amp; Corrugated Fill'!$C$12))-32)/1.8+243.04))))*(1061+0.444*((C32+0.1*'Cooling Tower &amp; Corrugated Fill'!$C$12))))-('Merkel Solver'!$C$4+'Cooling Tower &amp; Corrugated Fill'!$C$13*0.1*'Cooling Tower &amp; Corrugated Fill'!$C$12)</f>
        <v/>
      </c>
      <c r="E32" s="14">
        <f>(0.24*((C32+0.4*'Cooling Tower &amp; Corrugated Fill'!$C$12))+0.62198*(0.61094*EXP(17.625*(((C32+0.4*'Cooling Tower &amp; Corrugated Fill'!$C$12))-32)/1.8/((((C32+0.4*'Cooling Tower &amp; Corrugated Fill'!$C$12))-32)/1.8+243.04)))/('Cooling Tower &amp; Corrugated Fill'!$C$14-(0.61094*EXP(17.625*(((C32+0.4*'Cooling Tower &amp; Corrugated Fill'!$C$12))-32)/1.8/((((C32+0.4*'Cooling Tower &amp; Corrugated Fill'!$C$12))-32)/1.8+243.04))))*(1061+0.444*((C32+0.4*'Cooling Tower &amp; Corrugated Fill'!$C$12))))-('Merkel Solver'!$C$4+'Cooling Tower &amp; Corrugated Fill'!$C$13*0.4*'Cooling Tower &amp; Corrugated Fill'!$C$12)</f>
        <v/>
      </c>
      <c r="F32" s="14">
        <f>(0.24*((C32+0.6*'Cooling Tower &amp; Corrugated Fill'!$C$12))+0.62198*(0.61094*EXP(17.625*(((C32+0.6*'Cooling Tower &amp; Corrugated Fill'!$C$12))-32)/1.8/((((C32+0.6*'Cooling Tower &amp; Corrugated Fill'!$C$12))-32)/1.8+243.04)))/('Cooling Tower &amp; Corrugated Fill'!$C$14-(0.61094*EXP(17.625*(((C32+0.6*'Cooling Tower &amp; Corrugated Fill'!$C$12))-32)/1.8/((((C32+0.6*'Cooling Tower &amp; Corrugated Fill'!$C$12))-32)/1.8+243.04))))*(1061+0.444*((C32+0.6*'Cooling Tower &amp; Corrugated Fill'!$C$12))))-('Merkel Solver'!$C$4+'Cooling Tower &amp; Corrugated Fill'!$C$13*0.6*'Cooling Tower &amp; Corrugated Fill'!$C$12)</f>
        <v/>
      </c>
      <c r="G32" s="14">
        <f>(0.24*((C32+0.9*'Cooling Tower &amp; Corrugated Fill'!$C$12))+0.62198*(0.61094*EXP(17.625*(((C32+0.9*'Cooling Tower &amp; Corrugated Fill'!$C$12))-32)/1.8/((((C32+0.9*'Cooling Tower &amp; Corrugated Fill'!$C$12))-32)/1.8+243.04)))/('Cooling Tower &amp; Corrugated Fill'!$C$14-(0.61094*EXP(17.625*(((C32+0.9*'Cooling Tower &amp; Corrugated Fill'!$C$12))-32)/1.8/((((C32+0.9*'Cooling Tower &amp; Corrugated Fill'!$C$12))-32)/1.8+243.04))))*(1061+0.444*((C32+0.9*'Cooling Tower &amp; Corrugated Fill'!$C$12))))-('Merkel Solver'!$C$4+'Cooling Tower &amp; Corrugated Fill'!$C$13*0.9*'Cooling Tower &amp; Corrugated Fill'!$C$12)</f>
        <v/>
      </c>
      <c r="H32" s="22">
        <f>IF(MIN(D32:G32)&lt;=0,99999,'Cooling Tower &amp; Corrugated Fill'!$C$12/4*(1/D32+1/E32+1/F32+1/G32))</f>
        <v/>
      </c>
    </row>
    <row r="33">
      <c r="B33" s="30" t="n">
        <v>2.7</v>
      </c>
      <c r="C33" s="12">
        <f>'Dashboard'!$C$9+B33</f>
        <v/>
      </c>
      <c r="D33" s="14">
        <f>(0.24*((C33+0.1*'Cooling Tower &amp; Corrugated Fill'!$C$12))+0.62198*(0.61094*EXP(17.625*(((C33+0.1*'Cooling Tower &amp; Corrugated Fill'!$C$12))-32)/1.8/((((C33+0.1*'Cooling Tower &amp; Corrugated Fill'!$C$12))-32)/1.8+243.04)))/('Cooling Tower &amp; Corrugated Fill'!$C$14-(0.61094*EXP(17.625*(((C33+0.1*'Cooling Tower &amp; Corrugated Fill'!$C$12))-32)/1.8/((((C33+0.1*'Cooling Tower &amp; Corrugated Fill'!$C$12))-32)/1.8+243.04))))*(1061+0.444*((C33+0.1*'Cooling Tower &amp; Corrugated Fill'!$C$12))))-('Merkel Solver'!$C$4+'Cooling Tower &amp; Corrugated Fill'!$C$13*0.1*'Cooling Tower &amp; Corrugated Fill'!$C$12)</f>
        <v/>
      </c>
      <c r="E33" s="14">
        <f>(0.24*((C33+0.4*'Cooling Tower &amp; Corrugated Fill'!$C$12))+0.62198*(0.61094*EXP(17.625*(((C33+0.4*'Cooling Tower &amp; Corrugated Fill'!$C$12))-32)/1.8/((((C33+0.4*'Cooling Tower &amp; Corrugated Fill'!$C$12))-32)/1.8+243.04)))/('Cooling Tower &amp; Corrugated Fill'!$C$14-(0.61094*EXP(17.625*(((C33+0.4*'Cooling Tower &amp; Corrugated Fill'!$C$12))-32)/1.8/((((C33+0.4*'Cooling Tower &amp; Corrugated Fill'!$C$12))-32)/1.8+243.04))))*(1061+0.444*((C33+0.4*'Cooling Tower &amp; Corrugated Fill'!$C$12))))-('Merkel Solver'!$C$4+'Cooling Tower &amp; Corrugated Fill'!$C$13*0.4*'Cooling Tower &amp; Corrugated Fill'!$C$12)</f>
        <v/>
      </c>
      <c r="F33" s="14">
        <f>(0.24*((C33+0.6*'Cooling Tower &amp; Corrugated Fill'!$C$12))+0.62198*(0.61094*EXP(17.625*(((C33+0.6*'Cooling Tower &amp; Corrugated Fill'!$C$12))-32)/1.8/((((C33+0.6*'Cooling Tower &amp; Corrugated Fill'!$C$12))-32)/1.8+243.04)))/('Cooling Tower &amp; Corrugated Fill'!$C$14-(0.61094*EXP(17.625*(((C33+0.6*'Cooling Tower &amp; Corrugated Fill'!$C$12))-32)/1.8/((((C33+0.6*'Cooling Tower &amp; Corrugated Fill'!$C$12))-32)/1.8+243.04))))*(1061+0.444*((C33+0.6*'Cooling Tower &amp; Corrugated Fill'!$C$12))))-('Merkel Solver'!$C$4+'Cooling Tower &amp; Corrugated Fill'!$C$13*0.6*'Cooling Tower &amp; Corrugated Fill'!$C$12)</f>
        <v/>
      </c>
      <c r="G33" s="14">
        <f>(0.24*((C33+0.9*'Cooling Tower &amp; Corrugated Fill'!$C$12))+0.62198*(0.61094*EXP(17.625*(((C33+0.9*'Cooling Tower &amp; Corrugated Fill'!$C$12))-32)/1.8/((((C33+0.9*'Cooling Tower &amp; Corrugated Fill'!$C$12))-32)/1.8+243.04)))/('Cooling Tower &amp; Corrugated Fill'!$C$14-(0.61094*EXP(17.625*(((C33+0.9*'Cooling Tower &amp; Corrugated Fill'!$C$12))-32)/1.8/((((C33+0.9*'Cooling Tower &amp; Corrugated Fill'!$C$12))-32)/1.8+243.04))))*(1061+0.444*((C33+0.9*'Cooling Tower &amp; Corrugated Fill'!$C$12))))-('Merkel Solver'!$C$4+'Cooling Tower &amp; Corrugated Fill'!$C$13*0.9*'Cooling Tower &amp; Corrugated Fill'!$C$12)</f>
        <v/>
      </c>
      <c r="H33" s="22">
        <f>IF(MIN(D33:G33)&lt;=0,99999,'Cooling Tower &amp; Corrugated Fill'!$C$12/4*(1/D33+1/E33+1/F33+1/G33))</f>
        <v/>
      </c>
    </row>
    <row r="34">
      <c r="B34" s="30" t="n">
        <v>2.8</v>
      </c>
      <c r="C34" s="12">
        <f>'Dashboard'!$C$9+B34</f>
        <v/>
      </c>
      <c r="D34" s="14">
        <f>(0.24*((C34+0.1*'Cooling Tower &amp; Corrugated Fill'!$C$12))+0.62198*(0.61094*EXP(17.625*(((C34+0.1*'Cooling Tower &amp; Corrugated Fill'!$C$12))-32)/1.8/((((C34+0.1*'Cooling Tower &amp; Corrugated Fill'!$C$12))-32)/1.8+243.04)))/('Cooling Tower &amp; Corrugated Fill'!$C$14-(0.61094*EXP(17.625*(((C34+0.1*'Cooling Tower &amp; Corrugated Fill'!$C$12))-32)/1.8/((((C34+0.1*'Cooling Tower &amp; Corrugated Fill'!$C$12))-32)/1.8+243.04))))*(1061+0.444*((C34+0.1*'Cooling Tower &amp; Corrugated Fill'!$C$12))))-('Merkel Solver'!$C$4+'Cooling Tower &amp; Corrugated Fill'!$C$13*0.1*'Cooling Tower &amp; Corrugated Fill'!$C$12)</f>
        <v/>
      </c>
      <c r="E34" s="14">
        <f>(0.24*((C34+0.4*'Cooling Tower &amp; Corrugated Fill'!$C$12))+0.62198*(0.61094*EXP(17.625*(((C34+0.4*'Cooling Tower &amp; Corrugated Fill'!$C$12))-32)/1.8/((((C34+0.4*'Cooling Tower &amp; Corrugated Fill'!$C$12))-32)/1.8+243.04)))/('Cooling Tower &amp; Corrugated Fill'!$C$14-(0.61094*EXP(17.625*(((C34+0.4*'Cooling Tower &amp; Corrugated Fill'!$C$12))-32)/1.8/((((C34+0.4*'Cooling Tower &amp; Corrugated Fill'!$C$12))-32)/1.8+243.04))))*(1061+0.444*((C34+0.4*'Cooling Tower &amp; Corrugated Fill'!$C$12))))-('Merkel Solver'!$C$4+'Cooling Tower &amp; Corrugated Fill'!$C$13*0.4*'Cooling Tower &amp; Corrugated Fill'!$C$12)</f>
        <v/>
      </c>
      <c r="F34" s="14">
        <f>(0.24*((C34+0.6*'Cooling Tower &amp; Corrugated Fill'!$C$12))+0.62198*(0.61094*EXP(17.625*(((C34+0.6*'Cooling Tower &amp; Corrugated Fill'!$C$12))-32)/1.8/((((C34+0.6*'Cooling Tower &amp; Corrugated Fill'!$C$12))-32)/1.8+243.04)))/('Cooling Tower &amp; Corrugated Fill'!$C$14-(0.61094*EXP(17.625*(((C34+0.6*'Cooling Tower &amp; Corrugated Fill'!$C$12))-32)/1.8/((((C34+0.6*'Cooling Tower &amp; Corrugated Fill'!$C$12))-32)/1.8+243.04))))*(1061+0.444*((C34+0.6*'Cooling Tower &amp; Corrugated Fill'!$C$12))))-('Merkel Solver'!$C$4+'Cooling Tower &amp; Corrugated Fill'!$C$13*0.6*'Cooling Tower &amp; Corrugated Fill'!$C$12)</f>
        <v/>
      </c>
      <c r="G34" s="14">
        <f>(0.24*((C34+0.9*'Cooling Tower &amp; Corrugated Fill'!$C$12))+0.62198*(0.61094*EXP(17.625*(((C34+0.9*'Cooling Tower &amp; Corrugated Fill'!$C$12))-32)/1.8/((((C34+0.9*'Cooling Tower &amp; Corrugated Fill'!$C$12))-32)/1.8+243.04)))/('Cooling Tower &amp; Corrugated Fill'!$C$14-(0.61094*EXP(17.625*(((C34+0.9*'Cooling Tower &amp; Corrugated Fill'!$C$12))-32)/1.8/((((C34+0.9*'Cooling Tower &amp; Corrugated Fill'!$C$12))-32)/1.8+243.04))))*(1061+0.444*((C34+0.9*'Cooling Tower &amp; Corrugated Fill'!$C$12))))-('Merkel Solver'!$C$4+'Cooling Tower &amp; Corrugated Fill'!$C$13*0.9*'Cooling Tower &amp; Corrugated Fill'!$C$12)</f>
        <v/>
      </c>
      <c r="H34" s="22">
        <f>IF(MIN(D34:G34)&lt;=0,99999,'Cooling Tower &amp; Corrugated Fill'!$C$12/4*(1/D34+1/E34+1/F34+1/G34))</f>
        <v/>
      </c>
    </row>
    <row r="35">
      <c r="B35" s="30" t="n">
        <v>2.9</v>
      </c>
      <c r="C35" s="12">
        <f>'Dashboard'!$C$9+B35</f>
        <v/>
      </c>
      <c r="D35" s="14">
        <f>(0.24*((C35+0.1*'Cooling Tower &amp; Corrugated Fill'!$C$12))+0.62198*(0.61094*EXP(17.625*(((C35+0.1*'Cooling Tower &amp; Corrugated Fill'!$C$12))-32)/1.8/((((C35+0.1*'Cooling Tower &amp; Corrugated Fill'!$C$12))-32)/1.8+243.04)))/('Cooling Tower &amp; Corrugated Fill'!$C$14-(0.61094*EXP(17.625*(((C35+0.1*'Cooling Tower &amp; Corrugated Fill'!$C$12))-32)/1.8/((((C35+0.1*'Cooling Tower &amp; Corrugated Fill'!$C$12))-32)/1.8+243.04))))*(1061+0.444*((C35+0.1*'Cooling Tower &amp; Corrugated Fill'!$C$12))))-('Merkel Solver'!$C$4+'Cooling Tower &amp; Corrugated Fill'!$C$13*0.1*'Cooling Tower &amp; Corrugated Fill'!$C$12)</f>
        <v/>
      </c>
      <c r="E35" s="14">
        <f>(0.24*((C35+0.4*'Cooling Tower &amp; Corrugated Fill'!$C$12))+0.62198*(0.61094*EXP(17.625*(((C35+0.4*'Cooling Tower &amp; Corrugated Fill'!$C$12))-32)/1.8/((((C35+0.4*'Cooling Tower &amp; Corrugated Fill'!$C$12))-32)/1.8+243.04)))/('Cooling Tower &amp; Corrugated Fill'!$C$14-(0.61094*EXP(17.625*(((C35+0.4*'Cooling Tower &amp; Corrugated Fill'!$C$12))-32)/1.8/((((C35+0.4*'Cooling Tower &amp; Corrugated Fill'!$C$12))-32)/1.8+243.04))))*(1061+0.444*((C35+0.4*'Cooling Tower &amp; Corrugated Fill'!$C$12))))-('Merkel Solver'!$C$4+'Cooling Tower &amp; Corrugated Fill'!$C$13*0.4*'Cooling Tower &amp; Corrugated Fill'!$C$12)</f>
        <v/>
      </c>
      <c r="F35" s="14">
        <f>(0.24*((C35+0.6*'Cooling Tower &amp; Corrugated Fill'!$C$12))+0.62198*(0.61094*EXP(17.625*(((C35+0.6*'Cooling Tower &amp; Corrugated Fill'!$C$12))-32)/1.8/((((C35+0.6*'Cooling Tower &amp; Corrugated Fill'!$C$12))-32)/1.8+243.04)))/('Cooling Tower &amp; Corrugated Fill'!$C$14-(0.61094*EXP(17.625*(((C35+0.6*'Cooling Tower &amp; Corrugated Fill'!$C$12))-32)/1.8/((((C35+0.6*'Cooling Tower &amp; Corrugated Fill'!$C$12))-32)/1.8+243.04))))*(1061+0.444*((C35+0.6*'Cooling Tower &amp; Corrugated Fill'!$C$12))))-('Merkel Solver'!$C$4+'Cooling Tower &amp; Corrugated Fill'!$C$13*0.6*'Cooling Tower &amp; Corrugated Fill'!$C$12)</f>
        <v/>
      </c>
      <c r="G35" s="14">
        <f>(0.24*((C35+0.9*'Cooling Tower &amp; Corrugated Fill'!$C$12))+0.62198*(0.61094*EXP(17.625*(((C35+0.9*'Cooling Tower &amp; Corrugated Fill'!$C$12))-32)/1.8/((((C35+0.9*'Cooling Tower &amp; Corrugated Fill'!$C$12))-32)/1.8+243.04)))/('Cooling Tower &amp; Corrugated Fill'!$C$14-(0.61094*EXP(17.625*(((C35+0.9*'Cooling Tower &amp; Corrugated Fill'!$C$12))-32)/1.8/((((C35+0.9*'Cooling Tower &amp; Corrugated Fill'!$C$12))-32)/1.8+243.04))))*(1061+0.444*((C35+0.9*'Cooling Tower &amp; Corrugated Fill'!$C$12))))-('Merkel Solver'!$C$4+'Cooling Tower &amp; Corrugated Fill'!$C$13*0.9*'Cooling Tower &amp; Corrugated Fill'!$C$12)</f>
        <v/>
      </c>
      <c r="H35" s="22">
        <f>IF(MIN(D35:G35)&lt;=0,99999,'Cooling Tower &amp; Corrugated Fill'!$C$12/4*(1/D35+1/E35+1/F35+1/G35))</f>
        <v/>
      </c>
    </row>
    <row r="36">
      <c r="B36" s="30" t="n">
        <v>3</v>
      </c>
      <c r="C36" s="12">
        <f>'Dashboard'!$C$9+B36</f>
        <v/>
      </c>
      <c r="D36" s="14">
        <f>(0.24*((C36+0.1*'Cooling Tower &amp; Corrugated Fill'!$C$12))+0.62198*(0.61094*EXP(17.625*(((C36+0.1*'Cooling Tower &amp; Corrugated Fill'!$C$12))-32)/1.8/((((C36+0.1*'Cooling Tower &amp; Corrugated Fill'!$C$12))-32)/1.8+243.04)))/('Cooling Tower &amp; Corrugated Fill'!$C$14-(0.61094*EXP(17.625*(((C36+0.1*'Cooling Tower &amp; Corrugated Fill'!$C$12))-32)/1.8/((((C36+0.1*'Cooling Tower &amp; Corrugated Fill'!$C$12))-32)/1.8+243.04))))*(1061+0.444*((C36+0.1*'Cooling Tower &amp; Corrugated Fill'!$C$12))))-('Merkel Solver'!$C$4+'Cooling Tower &amp; Corrugated Fill'!$C$13*0.1*'Cooling Tower &amp; Corrugated Fill'!$C$12)</f>
        <v/>
      </c>
      <c r="E36" s="14">
        <f>(0.24*((C36+0.4*'Cooling Tower &amp; Corrugated Fill'!$C$12))+0.62198*(0.61094*EXP(17.625*(((C36+0.4*'Cooling Tower &amp; Corrugated Fill'!$C$12))-32)/1.8/((((C36+0.4*'Cooling Tower &amp; Corrugated Fill'!$C$12))-32)/1.8+243.04)))/('Cooling Tower &amp; Corrugated Fill'!$C$14-(0.61094*EXP(17.625*(((C36+0.4*'Cooling Tower &amp; Corrugated Fill'!$C$12))-32)/1.8/((((C36+0.4*'Cooling Tower &amp; Corrugated Fill'!$C$12))-32)/1.8+243.04))))*(1061+0.444*((C36+0.4*'Cooling Tower &amp; Corrugated Fill'!$C$12))))-('Merkel Solver'!$C$4+'Cooling Tower &amp; Corrugated Fill'!$C$13*0.4*'Cooling Tower &amp; Corrugated Fill'!$C$12)</f>
        <v/>
      </c>
      <c r="F36" s="14">
        <f>(0.24*((C36+0.6*'Cooling Tower &amp; Corrugated Fill'!$C$12))+0.62198*(0.61094*EXP(17.625*(((C36+0.6*'Cooling Tower &amp; Corrugated Fill'!$C$12))-32)/1.8/((((C36+0.6*'Cooling Tower &amp; Corrugated Fill'!$C$12))-32)/1.8+243.04)))/('Cooling Tower &amp; Corrugated Fill'!$C$14-(0.61094*EXP(17.625*(((C36+0.6*'Cooling Tower &amp; Corrugated Fill'!$C$12))-32)/1.8/((((C36+0.6*'Cooling Tower &amp; Corrugated Fill'!$C$12))-32)/1.8+243.04))))*(1061+0.444*((C36+0.6*'Cooling Tower &amp; Corrugated Fill'!$C$12))))-('Merkel Solver'!$C$4+'Cooling Tower &amp; Corrugated Fill'!$C$13*0.6*'Cooling Tower &amp; Corrugated Fill'!$C$12)</f>
        <v/>
      </c>
      <c r="G36" s="14">
        <f>(0.24*((C36+0.9*'Cooling Tower &amp; Corrugated Fill'!$C$12))+0.62198*(0.61094*EXP(17.625*(((C36+0.9*'Cooling Tower &amp; Corrugated Fill'!$C$12))-32)/1.8/((((C36+0.9*'Cooling Tower &amp; Corrugated Fill'!$C$12))-32)/1.8+243.04)))/('Cooling Tower &amp; Corrugated Fill'!$C$14-(0.61094*EXP(17.625*(((C36+0.9*'Cooling Tower &amp; Corrugated Fill'!$C$12))-32)/1.8/((((C36+0.9*'Cooling Tower &amp; Corrugated Fill'!$C$12))-32)/1.8+243.04))))*(1061+0.444*((C36+0.9*'Cooling Tower &amp; Corrugated Fill'!$C$12))))-('Merkel Solver'!$C$4+'Cooling Tower &amp; Corrugated Fill'!$C$13*0.9*'Cooling Tower &amp; Corrugated Fill'!$C$12)</f>
        <v/>
      </c>
      <c r="H36" s="22">
        <f>IF(MIN(D36:G36)&lt;=0,99999,'Cooling Tower &amp; Corrugated Fill'!$C$12/4*(1/D36+1/E36+1/F36+1/G36))</f>
        <v/>
      </c>
    </row>
    <row r="37">
      <c r="B37" s="30" t="n">
        <v>3.1</v>
      </c>
      <c r="C37" s="12">
        <f>'Dashboard'!$C$9+B37</f>
        <v/>
      </c>
      <c r="D37" s="14">
        <f>(0.24*((C37+0.1*'Cooling Tower &amp; Corrugated Fill'!$C$12))+0.62198*(0.61094*EXP(17.625*(((C37+0.1*'Cooling Tower &amp; Corrugated Fill'!$C$12))-32)/1.8/((((C37+0.1*'Cooling Tower &amp; Corrugated Fill'!$C$12))-32)/1.8+243.04)))/('Cooling Tower &amp; Corrugated Fill'!$C$14-(0.61094*EXP(17.625*(((C37+0.1*'Cooling Tower &amp; Corrugated Fill'!$C$12))-32)/1.8/((((C37+0.1*'Cooling Tower &amp; Corrugated Fill'!$C$12))-32)/1.8+243.04))))*(1061+0.444*((C37+0.1*'Cooling Tower &amp; Corrugated Fill'!$C$12))))-('Merkel Solver'!$C$4+'Cooling Tower &amp; Corrugated Fill'!$C$13*0.1*'Cooling Tower &amp; Corrugated Fill'!$C$12)</f>
        <v/>
      </c>
      <c r="E37" s="14">
        <f>(0.24*((C37+0.4*'Cooling Tower &amp; Corrugated Fill'!$C$12))+0.62198*(0.61094*EXP(17.625*(((C37+0.4*'Cooling Tower &amp; Corrugated Fill'!$C$12))-32)/1.8/((((C37+0.4*'Cooling Tower &amp; Corrugated Fill'!$C$12))-32)/1.8+243.04)))/('Cooling Tower &amp; Corrugated Fill'!$C$14-(0.61094*EXP(17.625*(((C37+0.4*'Cooling Tower &amp; Corrugated Fill'!$C$12))-32)/1.8/((((C37+0.4*'Cooling Tower &amp; Corrugated Fill'!$C$12))-32)/1.8+243.04))))*(1061+0.444*((C37+0.4*'Cooling Tower &amp; Corrugated Fill'!$C$12))))-('Merkel Solver'!$C$4+'Cooling Tower &amp; Corrugated Fill'!$C$13*0.4*'Cooling Tower &amp; Corrugated Fill'!$C$12)</f>
        <v/>
      </c>
      <c r="F37" s="14">
        <f>(0.24*((C37+0.6*'Cooling Tower &amp; Corrugated Fill'!$C$12))+0.62198*(0.61094*EXP(17.625*(((C37+0.6*'Cooling Tower &amp; Corrugated Fill'!$C$12))-32)/1.8/((((C37+0.6*'Cooling Tower &amp; Corrugated Fill'!$C$12))-32)/1.8+243.04)))/('Cooling Tower &amp; Corrugated Fill'!$C$14-(0.61094*EXP(17.625*(((C37+0.6*'Cooling Tower &amp; Corrugated Fill'!$C$12))-32)/1.8/((((C37+0.6*'Cooling Tower &amp; Corrugated Fill'!$C$12))-32)/1.8+243.04))))*(1061+0.444*((C37+0.6*'Cooling Tower &amp; Corrugated Fill'!$C$12))))-('Merkel Solver'!$C$4+'Cooling Tower &amp; Corrugated Fill'!$C$13*0.6*'Cooling Tower &amp; Corrugated Fill'!$C$12)</f>
        <v/>
      </c>
      <c r="G37" s="14">
        <f>(0.24*((C37+0.9*'Cooling Tower &amp; Corrugated Fill'!$C$12))+0.62198*(0.61094*EXP(17.625*(((C37+0.9*'Cooling Tower &amp; Corrugated Fill'!$C$12))-32)/1.8/((((C37+0.9*'Cooling Tower &amp; Corrugated Fill'!$C$12))-32)/1.8+243.04)))/('Cooling Tower &amp; Corrugated Fill'!$C$14-(0.61094*EXP(17.625*(((C37+0.9*'Cooling Tower &amp; Corrugated Fill'!$C$12))-32)/1.8/((((C37+0.9*'Cooling Tower &amp; Corrugated Fill'!$C$12))-32)/1.8+243.04))))*(1061+0.444*((C37+0.9*'Cooling Tower &amp; Corrugated Fill'!$C$12))))-('Merkel Solver'!$C$4+'Cooling Tower &amp; Corrugated Fill'!$C$13*0.9*'Cooling Tower &amp; Corrugated Fill'!$C$12)</f>
        <v/>
      </c>
      <c r="H37" s="22">
        <f>IF(MIN(D37:G37)&lt;=0,99999,'Cooling Tower &amp; Corrugated Fill'!$C$12/4*(1/D37+1/E37+1/F37+1/G37))</f>
        <v/>
      </c>
    </row>
    <row r="38">
      <c r="B38" s="30" t="n">
        <v>3.2</v>
      </c>
      <c r="C38" s="12">
        <f>'Dashboard'!$C$9+B38</f>
        <v/>
      </c>
      <c r="D38" s="14">
        <f>(0.24*((C38+0.1*'Cooling Tower &amp; Corrugated Fill'!$C$12))+0.62198*(0.61094*EXP(17.625*(((C38+0.1*'Cooling Tower &amp; Corrugated Fill'!$C$12))-32)/1.8/((((C38+0.1*'Cooling Tower &amp; Corrugated Fill'!$C$12))-32)/1.8+243.04)))/('Cooling Tower &amp; Corrugated Fill'!$C$14-(0.61094*EXP(17.625*(((C38+0.1*'Cooling Tower &amp; Corrugated Fill'!$C$12))-32)/1.8/((((C38+0.1*'Cooling Tower &amp; Corrugated Fill'!$C$12))-32)/1.8+243.04))))*(1061+0.444*((C38+0.1*'Cooling Tower &amp; Corrugated Fill'!$C$12))))-('Merkel Solver'!$C$4+'Cooling Tower &amp; Corrugated Fill'!$C$13*0.1*'Cooling Tower &amp; Corrugated Fill'!$C$12)</f>
        <v/>
      </c>
      <c r="E38" s="14">
        <f>(0.24*((C38+0.4*'Cooling Tower &amp; Corrugated Fill'!$C$12))+0.62198*(0.61094*EXP(17.625*(((C38+0.4*'Cooling Tower &amp; Corrugated Fill'!$C$12))-32)/1.8/((((C38+0.4*'Cooling Tower &amp; Corrugated Fill'!$C$12))-32)/1.8+243.04)))/('Cooling Tower &amp; Corrugated Fill'!$C$14-(0.61094*EXP(17.625*(((C38+0.4*'Cooling Tower &amp; Corrugated Fill'!$C$12))-32)/1.8/((((C38+0.4*'Cooling Tower &amp; Corrugated Fill'!$C$12))-32)/1.8+243.04))))*(1061+0.444*((C38+0.4*'Cooling Tower &amp; Corrugated Fill'!$C$12))))-('Merkel Solver'!$C$4+'Cooling Tower &amp; Corrugated Fill'!$C$13*0.4*'Cooling Tower &amp; Corrugated Fill'!$C$12)</f>
        <v/>
      </c>
      <c r="F38" s="14">
        <f>(0.24*((C38+0.6*'Cooling Tower &amp; Corrugated Fill'!$C$12))+0.62198*(0.61094*EXP(17.625*(((C38+0.6*'Cooling Tower &amp; Corrugated Fill'!$C$12))-32)/1.8/((((C38+0.6*'Cooling Tower &amp; Corrugated Fill'!$C$12))-32)/1.8+243.04)))/('Cooling Tower &amp; Corrugated Fill'!$C$14-(0.61094*EXP(17.625*(((C38+0.6*'Cooling Tower &amp; Corrugated Fill'!$C$12))-32)/1.8/((((C38+0.6*'Cooling Tower &amp; Corrugated Fill'!$C$12))-32)/1.8+243.04))))*(1061+0.444*((C38+0.6*'Cooling Tower &amp; Corrugated Fill'!$C$12))))-('Merkel Solver'!$C$4+'Cooling Tower &amp; Corrugated Fill'!$C$13*0.6*'Cooling Tower &amp; Corrugated Fill'!$C$12)</f>
        <v/>
      </c>
      <c r="G38" s="14">
        <f>(0.24*((C38+0.9*'Cooling Tower &amp; Corrugated Fill'!$C$12))+0.62198*(0.61094*EXP(17.625*(((C38+0.9*'Cooling Tower &amp; Corrugated Fill'!$C$12))-32)/1.8/((((C38+0.9*'Cooling Tower &amp; Corrugated Fill'!$C$12))-32)/1.8+243.04)))/('Cooling Tower &amp; Corrugated Fill'!$C$14-(0.61094*EXP(17.625*(((C38+0.9*'Cooling Tower &amp; Corrugated Fill'!$C$12))-32)/1.8/((((C38+0.9*'Cooling Tower &amp; Corrugated Fill'!$C$12))-32)/1.8+243.04))))*(1061+0.444*((C38+0.9*'Cooling Tower &amp; Corrugated Fill'!$C$12))))-('Merkel Solver'!$C$4+'Cooling Tower &amp; Corrugated Fill'!$C$13*0.9*'Cooling Tower &amp; Corrugated Fill'!$C$12)</f>
        <v/>
      </c>
      <c r="H38" s="22">
        <f>IF(MIN(D38:G38)&lt;=0,99999,'Cooling Tower &amp; Corrugated Fill'!$C$12/4*(1/D38+1/E38+1/F38+1/G38))</f>
        <v/>
      </c>
    </row>
    <row r="39">
      <c r="B39" s="30" t="n">
        <v>3.3</v>
      </c>
      <c r="C39" s="12">
        <f>'Dashboard'!$C$9+B39</f>
        <v/>
      </c>
      <c r="D39" s="14">
        <f>(0.24*((C39+0.1*'Cooling Tower &amp; Corrugated Fill'!$C$12))+0.62198*(0.61094*EXP(17.625*(((C39+0.1*'Cooling Tower &amp; Corrugated Fill'!$C$12))-32)/1.8/((((C39+0.1*'Cooling Tower &amp; Corrugated Fill'!$C$12))-32)/1.8+243.04)))/('Cooling Tower &amp; Corrugated Fill'!$C$14-(0.61094*EXP(17.625*(((C39+0.1*'Cooling Tower &amp; Corrugated Fill'!$C$12))-32)/1.8/((((C39+0.1*'Cooling Tower &amp; Corrugated Fill'!$C$12))-32)/1.8+243.04))))*(1061+0.444*((C39+0.1*'Cooling Tower &amp; Corrugated Fill'!$C$12))))-('Merkel Solver'!$C$4+'Cooling Tower &amp; Corrugated Fill'!$C$13*0.1*'Cooling Tower &amp; Corrugated Fill'!$C$12)</f>
        <v/>
      </c>
      <c r="E39" s="14">
        <f>(0.24*((C39+0.4*'Cooling Tower &amp; Corrugated Fill'!$C$12))+0.62198*(0.61094*EXP(17.625*(((C39+0.4*'Cooling Tower &amp; Corrugated Fill'!$C$12))-32)/1.8/((((C39+0.4*'Cooling Tower &amp; Corrugated Fill'!$C$12))-32)/1.8+243.04)))/('Cooling Tower &amp; Corrugated Fill'!$C$14-(0.61094*EXP(17.625*(((C39+0.4*'Cooling Tower &amp; Corrugated Fill'!$C$12))-32)/1.8/((((C39+0.4*'Cooling Tower &amp; Corrugated Fill'!$C$12))-32)/1.8+243.04))))*(1061+0.444*((C39+0.4*'Cooling Tower &amp; Corrugated Fill'!$C$12))))-('Merkel Solver'!$C$4+'Cooling Tower &amp; Corrugated Fill'!$C$13*0.4*'Cooling Tower &amp; Corrugated Fill'!$C$12)</f>
        <v/>
      </c>
      <c r="F39" s="14">
        <f>(0.24*((C39+0.6*'Cooling Tower &amp; Corrugated Fill'!$C$12))+0.62198*(0.61094*EXP(17.625*(((C39+0.6*'Cooling Tower &amp; Corrugated Fill'!$C$12))-32)/1.8/((((C39+0.6*'Cooling Tower &amp; Corrugated Fill'!$C$12))-32)/1.8+243.04)))/('Cooling Tower &amp; Corrugated Fill'!$C$14-(0.61094*EXP(17.625*(((C39+0.6*'Cooling Tower &amp; Corrugated Fill'!$C$12))-32)/1.8/((((C39+0.6*'Cooling Tower &amp; Corrugated Fill'!$C$12))-32)/1.8+243.04))))*(1061+0.444*((C39+0.6*'Cooling Tower &amp; Corrugated Fill'!$C$12))))-('Merkel Solver'!$C$4+'Cooling Tower &amp; Corrugated Fill'!$C$13*0.6*'Cooling Tower &amp; Corrugated Fill'!$C$12)</f>
        <v/>
      </c>
      <c r="G39" s="14">
        <f>(0.24*((C39+0.9*'Cooling Tower &amp; Corrugated Fill'!$C$12))+0.62198*(0.61094*EXP(17.625*(((C39+0.9*'Cooling Tower &amp; Corrugated Fill'!$C$12))-32)/1.8/((((C39+0.9*'Cooling Tower &amp; Corrugated Fill'!$C$12))-32)/1.8+243.04)))/('Cooling Tower &amp; Corrugated Fill'!$C$14-(0.61094*EXP(17.625*(((C39+0.9*'Cooling Tower &amp; Corrugated Fill'!$C$12))-32)/1.8/((((C39+0.9*'Cooling Tower &amp; Corrugated Fill'!$C$12))-32)/1.8+243.04))))*(1061+0.444*((C39+0.9*'Cooling Tower &amp; Corrugated Fill'!$C$12))))-('Merkel Solver'!$C$4+'Cooling Tower &amp; Corrugated Fill'!$C$13*0.9*'Cooling Tower &amp; Corrugated Fill'!$C$12)</f>
        <v/>
      </c>
      <c r="H39" s="22">
        <f>IF(MIN(D39:G39)&lt;=0,99999,'Cooling Tower &amp; Corrugated Fill'!$C$12/4*(1/D39+1/E39+1/F39+1/G39))</f>
        <v/>
      </c>
    </row>
    <row r="40">
      <c r="B40" s="30" t="n">
        <v>3.4</v>
      </c>
      <c r="C40" s="12">
        <f>'Dashboard'!$C$9+B40</f>
        <v/>
      </c>
      <c r="D40" s="14">
        <f>(0.24*((C40+0.1*'Cooling Tower &amp; Corrugated Fill'!$C$12))+0.62198*(0.61094*EXP(17.625*(((C40+0.1*'Cooling Tower &amp; Corrugated Fill'!$C$12))-32)/1.8/((((C40+0.1*'Cooling Tower &amp; Corrugated Fill'!$C$12))-32)/1.8+243.04)))/('Cooling Tower &amp; Corrugated Fill'!$C$14-(0.61094*EXP(17.625*(((C40+0.1*'Cooling Tower &amp; Corrugated Fill'!$C$12))-32)/1.8/((((C40+0.1*'Cooling Tower &amp; Corrugated Fill'!$C$12))-32)/1.8+243.04))))*(1061+0.444*((C40+0.1*'Cooling Tower &amp; Corrugated Fill'!$C$12))))-('Merkel Solver'!$C$4+'Cooling Tower &amp; Corrugated Fill'!$C$13*0.1*'Cooling Tower &amp; Corrugated Fill'!$C$12)</f>
        <v/>
      </c>
      <c r="E40" s="14">
        <f>(0.24*((C40+0.4*'Cooling Tower &amp; Corrugated Fill'!$C$12))+0.62198*(0.61094*EXP(17.625*(((C40+0.4*'Cooling Tower &amp; Corrugated Fill'!$C$12))-32)/1.8/((((C40+0.4*'Cooling Tower &amp; Corrugated Fill'!$C$12))-32)/1.8+243.04)))/('Cooling Tower &amp; Corrugated Fill'!$C$14-(0.61094*EXP(17.625*(((C40+0.4*'Cooling Tower &amp; Corrugated Fill'!$C$12))-32)/1.8/((((C40+0.4*'Cooling Tower &amp; Corrugated Fill'!$C$12))-32)/1.8+243.04))))*(1061+0.444*((C40+0.4*'Cooling Tower &amp; Corrugated Fill'!$C$12))))-('Merkel Solver'!$C$4+'Cooling Tower &amp; Corrugated Fill'!$C$13*0.4*'Cooling Tower &amp; Corrugated Fill'!$C$12)</f>
        <v/>
      </c>
      <c r="F40" s="14">
        <f>(0.24*((C40+0.6*'Cooling Tower &amp; Corrugated Fill'!$C$12))+0.62198*(0.61094*EXP(17.625*(((C40+0.6*'Cooling Tower &amp; Corrugated Fill'!$C$12))-32)/1.8/((((C40+0.6*'Cooling Tower &amp; Corrugated Fill'!$C$12))-32)/1.8+243.04)))/('Cooling Tower &amp; Corrugated Fill'!$C$14-(0.61094*EXP(17.625*(((C40+0.6*'Cooling Tower &amp; Corrugated Fill'!$C$12))-32)/1.8/((((C40+0.6*'Cooling Tower &amp; Corrugated Fill'!$C$12))-32)/1.8+243.04))))*(1061+0.444*((C40+0.6*'Cooling Tower &amp; Corrugated Fill'!$C$12))))-('Merkel Solver'!$C$4+'Cooling Tower &amp; Corrugated Fill'!$C$13*0.6*'Cooling Tower &amp; Corrugated Fill'!$C$12)</f>
        <v/>
      </c>
      <c r="G40" s="14">
        <f>(0.24*((C40+0.9*'Cooling Tower &amp; Corrugated Fill'!$C$12))+0.62198*(0.61094*EXP(17.625*(((C40+0.9*'Cooling Tower &amp; Corrugated Fill'!$C$12))-32)/1.8/((((C40+0.9*'Cooling Tower &amp; Corrugated Fill'!$C$12))-32)/1.8+243.04)))/('Cooling Tower &amp; Corrugated Fill'!$C$14-(0.61094*EXP(17.625*(((C40+0.9*'Cooling Tower &amp; Corrugated Fill'!$C$12))-32)/1.8/((((C40+0.9*'Cooling Tower &amp; Corrugated Fill'!$C$12))-32)/1.8+243.04))))*(1061+0.444*((C40+0.9*'Cooling Tower &amp; Corrugated Fill'!$C$12))))-('Merkel Solver'!$C$4+'Cooling Tower &amp; Corrugated Fill'!$C$13*0.9*'Cooling Tower &amp; Corrugated Fill'!$C$12)</f>
        <v/>
      </c>
      <c r="H40" s="22">
        <f>IF(MIN(D40:G40)&lt;=0,99999,'Cooling Tower &amp; Corrugated Fill'!$C$12/4*(1/D40+1/E40+1/F40+1/G40))</f>
        <v/>
      </c>
    </row>
    <row r="41">
      <c r="B41" s="30" t="n">
        <v>3.5</v>
      </c>
      <c r="C41" s="12">
        <f>'Dashboard'!$C$9+B41</f>
        <v/>
      </c>
      <c r="D41" s="14">
        <f>(0.24*((C41+0.1*'Cooling Tower &amp; Corrugated Fill'!$C$12))+0.62198*(0.61094*EXP(17.625*(((C41+0.1*'Cooling Tower &amp; Corrugated Fill'!$C$12))-32)/1.8/((((C41+0.1*'Cooling Tower &amp; Corrugated Fill'!$C$12))-32)/1.8+243.04)))/('Cooling Tower &amp; Corrugated Fill'!$C$14-(0.61094*EXP(17.625*(((C41+0.1*'Cooling Tower &amp; Corrugated Fill'!$C$12))-32)/1.8/((((C41+0.1*'Cooling Tower &amp; Corrugated Fill'!$C$12))-32)/1.8+243.04))))*(1061+0.444*((C41+0.1*'Cooling Tower &amp; Corrugated Fill'!$C$12))))-('Merkel Solver'!$C$4+'Cooling Tower &amp; Corrugated Fill'!$C$13*0.1*'Cooling Tower &amp; Corrugated Fill'!$C$12)</f>
        <v/>
      </c>
      <c r="E41" s="14">
        <f>(0.24*((C41+0.4*'Cooling Tower &amp; Corrugated Fill'!$C$12))+0.62198*(0.61094*EXP(17.625*(((C41+0.4*'Cooling Tower &amp; Corrugated Fill'!$C$12))-32)/1.8/((((C41+0.4*'Cooling Tower &amp; Corrugated Fill'!$C$12))-32)/1.8+243.04)))/('Cooling Tower &amp; Corrugated Fill'!$C$14-(0.61094*EXP(17.625*(((C41+0.4*'Cooling Tower &amp; Corrugated Fill'!$C$12))-32)/1.8/((((C41+0.4*'Cooling Tower &amp; Corrugated Fill'!$C$12))-32)/1.8+243.04))))*(1061+0.444*((C41+0.4*'Cooling Tower &amp; Corrugated Fill'!$C$12))))-('Merkel Solver'!$C$4+'Cooling Tower &amp; Corrugated Fill'!$C$13*0.4*'Cooling Tower &amp; Corrugated Fill'!$C$12)</f>
        <v/>
      </c>
      <c r="F41" s="14">
        <f>(0.24*((C41+0.6*'Cooling Tower &amp; Corrugated Fill'!$C$12))+0.62198*(0.61094*EXP(17.625*(((C41+0.6*'Cooling Tower &amp; Corrugated Fill'!$C$12))-32)/1.8/((((C41+0.6*'Cooling Tower &amp; Corrugated Fill'!$C$12))-32)/1.8+243.04)))/('Cooling Tower &amp; Corrugated Fill'!$C$14-(0.61094*EXP(17.625*(((C41+0.6*'Cooling Tower &amp; Corrugated Fill'!$C$12))-32)/1.8/((((C41+0.6*'Cooling Tower &amp; Corrugated Fill'!$C$12))-32)/1.8+243.04))))*(1061+0.444*((C41+0.6*'Cooling Tower &amp; Corrugated Fill'!$C$12))))-('Merkel Solver'!$C$4+'Cooling Tower &amp; Corrugated Fill'!$C$13*0.6*'Cooling Tower &amp; Corrugated Fill'!$C$12)</f>
        <v/>
      </c>
      <c r="G41" s="14">
        <f>(0.24*((C41+0.9*'Cooling Tower &amp; Corrugated Fill'!$C$12))+0.62198*(0.61094*EXP(17.625*(((C41+0.9*'Cooling Tower &amp; Corrugated Fill'!$C$12))-32)/1.8/((((C41+0.9*'Cooling Tower &amp; Corrugated Fill'!$C$12))-32)/1.8+243.04)))/('Cooling Tower &amp; Corrugated Fill'!$C$14-(0.61094*EXP(17.625*(((C41+0.9*'Cooling Tower &amp; Corrugated Fill'!$C$12))-32)/1.8/((((C41+0.9*'Cooling Tower &amp; Corrugated Fill'!$C$12))-32)/1.8+243.04))))*(1061+0.444*((C41+0.9*'Cooling Tower &amp; Corrugated Fill'!$C$12))))-('Merkel Solver'!$C$4+'Cooling Tower &amp; Corrugated Fill'!$C$13*0.9*'Cooling Tower &amp; Corrugated Fill'!$C$12)</f>
        <v/>
      </c>
      <c r="H41" s="22">
        <f>IF(MIN(D41:G41)&lt;=0,99999,'Cooling Tower &amp; Corrugated Fill'!$C$12/4*(1/D41+1/E41+1/F41+1/G41))</f>
        <v/>
      </c>
    </row>
    <row r="42">
      <c r="B42" s="30" t="n">
        <v>3.6</v>
      </c>
      <c r="C42" s="12">
        <f>'Dashboard'!$C$9+B42</f>
        <v/>
      </c>
      <c r="D42" s="14">
        <f>(0.24*((C42+0.1*'Cooling Tower &amp; Corrugated Fill'!$C$12))+0.62198*(0.61094*EXP(17.625*(((C42+0.1*'Cooling Tower &amp; Corrugated Fill'!$C$12))-32)/1.8/((((C42+0.1*'Cooling Tower &amp; Corrugated Fill'!$C$12))-32)/1.8+243.04)))/('Cooling Tower &amp; Corrugated Fill'!$C$14-(0.61094*EXP(17.625*(((C42+0.1*'Cooling Tower &amp; Corrugated Fill'!$C$12))-32)/1.8/((((C42+0.1*'Cooling Tower &amp; Corrugated Fill'!$C$12))-32)/1.8+243.04))))*(1061+0.444*((C42+0.1*'Cooling Tower &amp; Corrugated Fill'!$C$12))))-('Merkel Solver'!$C$4+'Cooling Tower &amp; Corrugated Fill'!$C$13*0.1*'Cooling Tower &amp; Corrugated Fill'!$C$12)</f>
        <v/>
      </c>
      <c r="E42" s="14">
        <f>(0.24*((C42+0.4*'Cooling Tower &amp; Corrugated Fill'!$C$12))+0.62198*(0.61094*EXP(17.625*(((C42+0.4*'Cooling Tower &amp; Corrugated Fill'!$C$12))-32)/1.8/((((C42+0.4*'Cooling Tower &amp; Corrugated Fill'!$C$12))-32)/1.8+243.04)))/('Cooling Tower &amp; Corrugated Fill'!$C$14-(0.61094*EXP(17.625*(((C42+0.4*'Cooling Tower &amp; Corrugated Fill'!$C$12))-32)/1.8/((((C42+0.4*'Cooling Tower &amp; Corrugated Fill'!$C$12))-32)/1.8+243.04))))*(1061+0.444*((C42+0.4*'Cooling Tower &amp; Corrugated Fill'!$C$12))))-('Merkel Solver'!$C$4+'Cooling Tower &amp; Corrugated Fill'!$C$13*0.4*'Cooling Tower &amp; Corrugated Fill'!$C$12)</f>
        <v/>
      </c>
      <c r="F42" s="14">
        <f>(0.24*((C42+0.6*'Cooling Tower &amp; Corrugated Fill'!$C$12))+0.62198*(0.61094*EXP(17.625*(((C42+0.6*'Cooling Tower &amp; Corrugated Fill'!$C$12))-32)/1.8/((((C42+0.6*'Cooling Tower &amp; Corrugated Fill'!$C$12))-32)/1.8+243.04)))/('Cooling Tower &amp; Corrugated Fill'!$C$14-(0.61094*EXP(17.625*(((C42+0.6*'Cooling Tower &amp; Corrugated Fill'!$C$12))-32)/1.8/((((C42+0.6*'Cooling Tower &amp; Corrugated Fill'!$C$12))-32)/1.8+243.04))))*(1061+0.444*((C42+0.6*'Cooling Tower &amp; Corrugated Fill'!$C$12))))-('Merkel Solver'!$C$4+'Cooling Tower &amp; Corrugated Fill'!$C$13*0.6*'Cooling Tower &amp; Corrugated Fill'!$C$12)</f>
        <v/>
      </c>
      <c r="G42" s="14">
        <f>(0.24*((C42+0.9*'Cooling Tower &amp; Corrugated Fill'!$C$12))+0.62198*(0.61094*EXP(17.625*(((C42+0.9*'Cooling Tower &amp; Corrugated Fill'!$C$12))-32)/1.8/((((C42+0.9*'Cooling Tower &amp; Corrugated Fill'!$C$12))-32)/1.8+243.04)))/('Cooling Tower &amp; Corrugated Fill'!$C$14-(0.61094*EXP(17.625*(((C42+0.9*'Cooling Tower &amp; Corrugated Fill'!$C$12))-32)/1.8/((((C42+0.9*'Cooling Tower &amp; Corrugated Fill'!$C$12))-32)/1.8+243.04))))*(1061+0.444*((C42+0.9*'Cooling Tower &amp; Corrugated Fill'!$C$12))))-('Merkel Solver'!$C$4+'Cooling Tower &amp; Corrugated Fill'!$C$13*0.9*'Cooling Tower &amp; Corrugated Fill'!$C$12)</f>
        <v/>
      </c>
      <c r="H42" s="22">
        <f>IF(MIN(D42:G42)&lt;=0,99999,'Cooling Tower &amp; Corrugated Fill'!$C$12/4*(1/D42+1/E42+1/F42+1/G42))</f>
        <v/>
      </c>
    </row>
    <row r="43">
      <c r="B43" s="30" t="n">
        <v>3.7</v>
      </c>
      <c r="C43" s="12">
        <f>'Dashboard'!$C$9+B43</f>
        <v/>
      </c>
      <c r="D43" s="14">
        <f>(0.24*((C43+0.1*'Cooling Tower &amp; Corrugated Fill'!$C$12))+0.62198*(0.61094*EXP(17.625*(((C43+0.1*'Cooling Tower &amp; Corrugated Fill'!$C$12))-32)/1.8/((((C43+0.1*'Cooling Tower &amp; Corrugated Fill'!$C$12))-32)/1.8+243.04)))/('Cooling Tower &amp; Corrugated Fill'!$C$14-(0.61094*EXP(17.625*(((C43+0.1*'Cooling Tower &amp; Corrugated Fill'!$C$12))-32)/1.8/((((C43+0.1*'Cooling Tower &amp; Corrugated Fill'!$C$12))-32)/1.8+243.04))))*(1061+0.444*((C43+0.1*'Cooling Tower &amp; Corrugated Fill'!$C$12))))-('Merkel Solver'!$C$4+'Cooling Tower &amp; Corrugated Fill'!$C$13*0.1*'Cooling Tower &amp; Corrugated Fill'!$C$12)</f>
        <v/>
      </c>
      <c r="E43" s="14">
        <f>(0.24*((C43+0.4*'Cooling Tower &amp; Corrugated Fill'!$C$12))+0.62198*(0.61094*EXP(17.625*(((C43+0.4*'Cooling Tower &amp; Corrugated Fill'!$C$12))-32)/1.8/((((C43+0.4*'Cooling Tower &amp; Corrugated Fill'!$C$12))-32)/1.8+243.04)))/('Cooling Tower &amp; Corrugated Fill'!$C$14-(0.61094*EXP(17.625*(((C43+0.4*'Cooling Tower &amp; Corrugated Fill'!$C$12))-32)/1.8/((((C43+0.4*'Cooling Tower &amp; Corrugated Fill'!$C$12))-32)/1.8+243.04))))*(1061+0.444*((C43+0.4*'Cooling Tower &amp; Corrugated Fill'!$C$12))))-('Merkel Solver'!$C$4+'Cooling Tower &amp; Corrugated Fill'!$C$13*0.4*'Cooling Tower &amp; Corrugated Fill'!$C$12)</f>
        <v/>
      </c>
      <c r="F43" s="14">
        <f>(0.24*((C43+0.6*'Cooling Tower &amp; Corrugated Fill'!$C$12))+0.62198*(0.61094*EXP(17.625*(((C43+0.6*'Cooling Tower &amp; Corrugated Fill'!$C$12))-32)/1.8/((((C43+0.6*'Cooling Tower &amp; Corrugated Fill'!$C$12))-32)/1.8+243.04)))/('Cooling Tower &amp; Corrugated Fill'!$C$14-(0.61094*EXP(17.625*(((C43+0.6*'Cooling Tower &amp; Corrugated Fill'!$C$12))-32)/1.8/((((C43+0.6*'Cooling Tower &amp; Corrugated Fill'!$C$12))-32)/1.8+243.04))))*(1061+0.444*((C43+0.6*'Cooling Tower &amp; Corrugated Fill'!$C$12))))-('Merkel Solver'!$C$4+'Cooling Tower &amp; Corrugated Fill'!$C$13*0.6*'Cooling Tower &amp; Corrugated Fill'!$C$12)</f>
        <v/>
      </c>
      <c r="G43" s="14">
        <f>(0.24*((C43+0.9*'Cooling Tower &amp; Corrugated Fill'!$C$12))+0.62198*(0.61094*EXP(17.625*(((C43+0.9*'Cooling Tower &amp; Corrugated Fill'!$C$12))-32)/1.8/((((C43+0.9*'Cooling Tower &amp; Corrugated Fill'!$C$12))-32)/1.8+243.04)))/('Cooling Tower &amp; Corrugated Fill'!$C$14-(0.61094*EXP(17.625*(((C43+0.9*'Cooling Tower &amp; Corrugated Fill'!$C$12))-32)/1.8/((((C43+0.9*'Cooling Tower &amp; Corrugated Fill'!$C$12))-32)/1.8+243.04))))*(1061+0.444*((C43+0.9*'Cooling Tower &amp; Corrugated Fill'!$C$12))))-('Merkel Solver'!$C$4+'Cooling Tower &amp; Corrugated Fill'!$C$13*0.9*'Cooling Tower &amp; Corrugated Fill'!$C$12)</f>
        <v/>
      </c>
      <c r="H43" s="22">
        <f>IF(MIN(D43:G43)&lt;=0,99999,'Cooling Tower &amp; Corrugated Fill'!$C$12/4*(1/D43+1/E43+1/F43+1/G43))</f>
        <v/>
      </c>
    </row>
    <row r="44">
      <c r="B44" s="30" t="n">
        <v>3.8</v>
      </c>
      <c r="C44" s="12">
        <f>'Dashboard'!$C$9+B44</f>
        <v/>
      </c>
      <c r="D44" s="14">
        <f>(0.24*((C44+0.1*'Cooling Tower &amp; Corrugated Fill'!$C$12))+0.62198*(0.61094*EXP(17.625*(((C44+0.1*'Cooling Tower &amp; Corrugated Fill'!$C$12))-32)/1.8/((((C44+0.1*'Cooling Tower &amp; Corrugated Fill'!$C$12))-32)/1.8+243.04)))/('Cooling Tower &amp; Corrugated Fill'!$C$14-(0.61094*EXP(17.625*(((C44+0.1*'Cooling Tower &amp; Corrugated Fill'!$C$12))-32)/1.8/((((C44+0.1*'Cooling Tower &amp; Corrugated Fill'!$C$12))-32)/1.8+243.04))))*(1061+0.444*((C44+0.1*'Cooling Tower &amp; Corrugated Fill'!$C$12))))-('Merkel Solver'!$C$4+'Cooling Tower &amp; Corrugated Fill'!$C$13*0.1*'Cooling Tower &amp; Corrugated Fill'!$C$12)</f>
        <v/>
      </c>
      <c r="E44" s="14">
        <f>(0.24*((C44+0.4*'Cooling Tower &amp; Corrugated Fill'!$C$12))+0.62198*(0.61094*EXP(17.625*(((C44+0.4*'Cooling Tower &amp; Corrugated Fill'!$C$12))-32)/1.8/((((C44+0.4*'Cooling Tower &amp; Corrugated Fill'!$C$12))-32)/1.8+243.04)))/('Cooling Tower &amp; Corrugated Fill'!$C$14-(0.61094*EXP(17.625*(((C44+0.4*'Cooling Tower &amp; Corrugated Fill'!$C$12))-32)/1.8/((((C44+0.4*'Cooling Tower &amp; Corrugated Fill'!$C$12))-32)/1.8+243.04))))*(1061+0.444*((C44+0.4*'Cooling Tower &amp; Corrugated Fill'!$C$12))))-('Merkel Solver'!$C$4+'Cooling Tower &amp; Corrugated Fill'!$C$13*0.4*'Cooling Tower &amp; Corrugated Fill'!$C$12)</f>
        <v/>
      </c>
      <c r="F44" s="14">
        <f>(0.24*((C44+0.6*'Cooling Tower &amp; Corrugated Fill'!$C$12))+0.62198*(0.61094*EXP(17.625*(((C44+0.6*'Cooling Tower &amp; Corrugated Fill'!$C$12))-32)/1.8/((((C44+0.6*'Cooling Tower &amp; Corrugated Fill'!$C$12))-32)/1.8+243.04)))/('Cooling Tower &amp; Corrugated Fill'!$C$14-(0.61094*EXP(17.625*(((C44+0.6*'Cooling Tower &amp; Corrugated Fill'!$C$12))-32)/1.8/((((C44+0.6*'Cooling Tower &amp; Corrugated Fill'!$C$12))-32)/1.8+243.04))))*(1061+0.444*((C44+0.6*'Cooling Tower &amp; Corrugated Fill'!$C$12))))-('Merkel Solver'!$C$4+'Cooling Tower &amp; Corrugated Fill'!$C$13*0.6*'Cooling Tower &amp; Corrugated Fill'!$C$12)</f>
        <v/>
      </c>
      <c r="G44" s="14">
        <f>(0.24*((C44+0.9*'Cooling Tower &amp; Corrugated Fill'!$C$12))+0.62198*(0.61094*EXP(17.625*(((C44+0.9*'Cooling Tower &amp; Corrugated Fill'!$C$12))-32)/1.8/((((C44+0.9*'Cooling Tower &amp; Corrugated Fill'!$C$12))-32)/1.8+243.04)))/('Cooling Tower &amp; Corrugated Fill'!$C$14-(0.61094*EXP(17.625*(((C44+0.9*'Cooling Tower &amp; Corrugated Fill'!$C$12))-32)/1.8/((((C44+0.9*'Cooling Tower &amp; Corrugated Fill'!$C$12))-32)/1.8+243.04))))*(1061+0.444*((C44+0.9*'Cooling Tower &amp; Corrugated Fill'!$C$12))))-('Merkel Solver'!$C$4+'Cooling Tower &amp; Corrugated Fill'!$C$13*0.9*'Cooling Tower &amp; Corrugated Fill'!$C$12)</f>
        <v/>
      </c>
      <c r="H44" s="22">
        <f>IF(MIN(D44:G44)&lt;=0,99999,'Cooling Tower &amp; Corrugated Fill'!$C$12/4*(1/D44+1/E44+1/F44+1/G44))</f>
        <v/>
      </c>
    </row>
    <row r="45">
      <c r="B45" s="30" t="n">
        <v>3.9</v>
      </c>
      <c r="C45" s="12">
        <f>'Dashboard'!$C$9+B45</f>
        <v/>
      </c>
      <c r="D45" s="14">
        <f>(0.24*((C45+0.1*'Cooling Tower &amp; Corrugated Fill'!$C$12))+0.62198*(0.61094*EXP(17.625*(((C45+0.1*'Cooling Tower &amp; Corrugated Fill'!$C$12))-32)/1.8/((((C45+0.1*'Cooling Tower &amp; Corrugated Fill'!$C$12))-32)/1.8+243.04)))/('Cooling Tower &amp; Corrugated Fill'!$C$14-(0.61094*EXP(17.625*(((C45+0.1*'Cooling Tower &amp; Corrugated Fill'!$C$12))-32)/1.8/((((C45+0.1*'Cooling Tower &amp; Corrugated Fill'!$C$12))-32)/1.8+243.04))))*(1061+0.444*((C45+0.1*'Cooling Tower &amp; Corrugated Fill'!$C$12))))-('Merkel Solver'!$C$4+'Cooling Tower &amp; Corrugated Fill'!$C$13*0.1*'Cooling Tower &amp; Corrugated Fill'!$C$12)</f>
        <v/>
      </c>
      <c r="E45" s="14">
        <f>(0.24*((C45+0.4*'Cooling Tower &amp; Corrugated Fill'!$C$12))+0.62198*(0.61094*EXP(17.625*(((C45+0.4*'Cooling Tower &amp; Corrugated Fill'!$C$12))-32)/1.8/((((C45+0.4*'Cooling Tower &amp; Corrugated Fill'!$C$12))-32)/1.8+243.04)))/('Cooling Tower &amp; Corrugated Fill'!$C$14-(0.61094*EXP(17.625*(((C45+0.4*'Cooling Tower &amp; Corrugated Fill'!$C$12))-32)/1.8/((((C45+0.4*'Cooling Tower &amp; Corrugated Fill'!$C$12))-32)/1.8+243.04))))*(1061+0.444*((C45+0.4*'Cooling Tower &amp; Corrugated Fill'!$C$12))))-('Merkel Solver'!$C$4+'Cooling Tower &amp; Corrugated Fill'!$C$13*0.4*'Cooling Tower &amp; Corrugated Fill'!$C$12)</f>
        <v/>
      </c>
      <c r="F45" s="14">
        <f>(0.24*((C45+0.6*'Cooling Tower &amp; Corrugated Fill'!$C$12))+0.62198*(0.61094*EXP(17.625*(((C45+0.6*'Cooling Tower &amp; Corrugated Fill'!$C$12))-32)/1.8/((((C45+0.6*'Cooling Tower &amp; Corrugated Fill'!$C$12))-32)/1.8+243.04)))/('Cooling Tower &amp; Corrugated Fill'!$C$14-(0.61094*EXP(17.625*(((C45+0.6*'Cooling Tower &amp; Corrugated Fill'!$C$12))-32)/1.8/((((C45+0.6*'Cooling Tower &amp; Corrugated Fill'!$C$12))-32)/1.8+243.04))))*(1061+0.444*((C45+0.6*'Cooling Tower &amp; Corrugated Fill'!$C$12))))-('Merkel Solver'!$C$4+'Cooling Tower &amp; Corrugated Fill'!$C$13*0.6*'Cooling Tower &amp; Corrugated Fill'!$C$12)</f>
        <v/>
      </c>
      <c r="G45" s="14">
        <f>(0.24*((C45+0.9*'Cooling Tower &amp; Corrugated Fill'!$C$12))+0.62198*(0.61094*EXP(17.625*(((C45+0.9*'Cooling Tower &amp; Corrugated Fill'!$C$12))-32)/1.8/((((C45+0.9*'Cooling Tower &amp; Corrugated Fill'!$C$12))-32)/1.8+243.04)))/('Cooling Tower &amp; Corrugated Fill'!$C$14-(0.61094*EXP(17.625*(((C45+0.9*'Cooling Tower &amp; Corrugated Fill'!$C$12))-32)/1.8/((((C45+0.9*'Cooling Tower &amp; Corrugated Fill'!$C$12))-32)/1.8+243.04))))*(1061+0.444*((C45+0.9*'Cooling Tower &amp; Corrugated Fill'!$C$12))))-('Merkel Solver'!$C$4+'Cooling Tower &amp; Corrugated Fill'!$C$13*0.9*'Cooling Tower &amp; Corrugated Fill'!$C$12)</f>
        <v/>
      </c>
      <c r="H45" s="22">
        <f>IF(MIN(D45:G45)&lt;=0,99999,'Cooling Tower &amp; Corrugated Fill'!$C$12/4*(1/D45+1/E45+1/F45+1/G45))</f>
        <v/>
      </c>
    </row>
    <row r="46">
      <c r="B46" s="30" t="n">
        <v>4</v>
      </c>
      <c r="C46" s="12">
        <f>'Dashboard'!$C$9+B46</f>
        <v/>
      </c>
      <c r="D46" s="14">
        <f>(0.24*((C46+0.1*'Cooling Tower &amp; Corrugated Fill'!$C$12))+0.62198*(0.61094*EXP(17.625*(((C46+0.1*'Cooling Tower &amp; Corrugated Fill'!$C$12))-32)/1.8/((((C46+0.1*'Cooling Tower &amp; Corrugated Fill'!$C$12))-32)/1.8+243.04)))/('Cooling Tower &amp; Corrugated Fill'!$C$14-(0.61094*EXP(17.625*(((C46+0.1*'Cooling Tower &amp; Corrugated Fill'!$C$12))-32)/1.8/((((C46+0.1*'Cooling Tower &amp; Corrugated Fill'!$C$12))-32)/1.8+243.04))))*(1061+0.444*((C46+0.1*'Cooling Tower &amp; Corrugated Fill'!$C$12))))-('Merkel Solver'!$C$4+'Cooling Tower &amp; Corrugated Fill'!$C$13*0.1*'Cooling Tower &amp; Corrugated Fill'!$C$12)</f>
        <v/>
      </c>
      <c r="E46" s="14">
        <f>(0.24*((C46+0.4*'Cooling Tower &amp; Corrugated Fill'!$C$12))+0.62198*(0.61094*EXP(17.625*(((C46+0.4*'Cooling Tower &amp; Corrugated Fill'!$C$12))-32)/1.8/((((C46+0.4*'Cooling Tower &amp; Corrugated Fill'!$C$12))-32)/1.8+243.04)))/('Cooling Tower &amp; Corrugated Fill'!$C$14-(0.61094*EXP(17.625*(((C46+0.4*'Cooling Tower &amp; Corrugated Fill'!$C$12))-32)/1.8/((((C46+0.4*'Cooling Tower &amp; Corrugated Fill'!$C$12))-32)/1.8+243.04))))*(1061+0.444*((C46+0.4*'Cooling Tower &amp; Corrugated Fill'!$C$12))))-('Merkel Solver'!$C$4+'Cooling Tower &amp; Corrugated Fill'!$C$13*0.4*'Cooling Tower &amp; Corrugated Fill'!$C$12)</f>
        <v/>
      </c>
      <c r="F46" s="14">
        <f>(0.24*((C46+0.6*'Cooling Tower &amp; Corrugated Fill'!$C$12))+0.62198*(0.61094*EXP(17.625*(((C46+0.6*'Cooling Tower &amp; Corrugated Fill'!$C$12))-32)/1.8/((((C46+0.6*'Cooling Tower &amp; Corrugated Fill'!$C$12))-32)/1.8+243.04)))/('Cooling Tower &amp; Corrugated Fill'!$C$14-(0.61094*EXP(17.625*(((C46+0.6*'Cooling Tower &amp; Corrugated Fill'!$C$12))-32)/1.8/((((C46+0.6*'Cooling Tower &amp; Corrugated Fill'!$C$12))-32)/1.8+243.04))))*(1061+0.444*((C46+0.6*'Cooling Tower &amp; Corrugated Fill'!$C$12))))-('Merkel Solver'!$C$4+'Cooling Tower &amp; Corrugated Fill'!$C$13*0.6*'Cooling Tower &amp; Corrugated Fill'!$C$12)</f>
        <v/>
      </c>
      <c r="G46" s="14">
        <f>(0.24*((C46+0.9*'Cooling Tower &amp; Corrugated Fill'!$C$12))+0.62198*(0.61094*EXP(17.625*(((C46+0.9*'Cooling Tower &amp; Corrugated Fill'!$C$12))-32)/1.8/((((C46+0.9*'Cooling Tower &amp; Corrugated Fill'!$C$12))-32)/1.8+243.04)))/('Cooling Tower &amp; Corrugated Fill'!$C$14-(0.61094*EXP(17.625*(((C46+0.9*'Cooling Tower &amp; Corrugated Fill'!$C$12))-32)/1.8/((((C46+0.9*'Cooling Tower &amp; Corrugated Fill'!$C$12))-32)/1.8+243.04))))*(1061+0.444*((C46+0.9*'Cooling Tower &amp; Corrugated Fill'!$C$12))))-('Merkel Solver'!$C$4+'Cooling Tower &amp; Corrugated Fill'!$C$13*0.9*'Cooling Tower &amp; Corrugated Fill'!$C$12)</f>
        <v/>
      </c>
      <c r="H46" s="22">
        <f>IF(MIN(D46:G46)&lt;=0,99999,'Cooling Tower &amp; Corrugated Fill'!$C$12/4*(1/D46+1/E46+1/F46+1/G46))</f>
        <v/>
      </c>
    </row>
    <row r="47">
      <c r="B47" s="30" t="n">
        <v>4.1</v>
      </c>
      <c r="C47" s="12">
        <f>'Dashboard'!$C$9+B47</f>
        <v/>
      </c>
      <c r="D47" s="14">
        <f>(0.24*((C47+0.1*'Cooling Tower &amp; Corrugated Fill'!$C$12))+0.62198*(0.61094*EXP(17.625*(((C47+0.1*'Cooling Tower &amp; Corrugated Fill'!$C$12))-32)/1.8/((((C47+0.1*'Cooling Tower &amp; Corrugated Fill'!$C$12))-32)/1.8+243.04)))/('Cooling Tower &amp; Corrugated Fill'!$C$14-(0.61094*EXP(17.625*(((C47+0.1*'Cooling Tower &amp; Corrugated Fill'!$C$12))-32)/1.8/((((C47+0.1*'Cooling Tower &amp; Corrugated Fill'!$C$12))-32)/1.8+243.04))))*(1061+0.444*((C47+0.1*'Cooling Tower &amp; Corrugated Fill'!$C$12))))-('Merkel Solver'!$C$4+'Cooling Tower &amp; Corrugated Fill'!$C$13*0.1*'Cooling Tower &amp; Corrugated Fill'!$C$12)</f>
        <v/>
      </c>
      <c r="E47" s="14">
        <f>(0.24*((C47+0.4*'Cooling Tower &amp; Corrugated Fill'!$C$12))+0.62198*(0.61094*EXP(17.625*(((C47+0.4*'Cooling Tower &amp; Corrugated Fill'!$C$12))-32)/1.8/((((C47+0.4*'Cooling Tower &amp; Corrugated Fill'!$C$12))-32)/1.8+243.04)))/('Cooling Tower &amp; Corrugated Fill'!$C$14-(0.61094*EXP(17.625*(((C47+0.4*'Cooling Tower &amp; Corrugated Fill'!$C$12))-32)/1.8/((((C47+0.4*'Cooling Tower &amp; Corrugated Fill'!$C$12))-32)/1.8+243.04))))*(1061+0.444*((C47+0.4*'Cooling Tower &amp; Corrugated Fill'!$C$12))))-('Merkel Solver'!$C$4+'Cooling Tower &amp; Corrugated Fill'!$C$13*0.4*'Cooling Tower &amp; Corrugated Fill'!$C$12)</f>
        <v/>
      </c>
      <c r="F47" s="14">
        <f>(0.24*((C47+0.6*'Cooling Tower &amp; Corrugated Fill'!$C$12))+0.62198*(0.61094*EXP(17.625*(((C47+0.6*'Cooling Tower &amp; Corrugated Fill'!$C$12))-32)/1.8/((((C47+0.6*'Cooling Tower &amp; Corrugated Fill'!$C$12))-32)/1.8+243.04)))/('Cooling Tower &amp; Corrugated Fill'!$C$14-(0.61094*EXP(17.625*(((C47+0.6*'Cooling Tower &amp; Corrugated Fill'!$C$12))-32)/1.8/((((C47+0.6*'Cooling Tower &amp; Corrugated Fill'!$C$12))-32)/1.8+243.04))))*(1061+0.444*((C47+0.6*'Cooling Tower &amp; Corrugated Fill'!$C$12))))-('Merkel Solver'!$C$4+'Cooling Tower &amp; Corrugated Fill'!$C$13*0.6*'Cooling Tower &amp; Corrugated Fill'!$C$12)</f>
        <v/>
      </c>
      <c r="G47" s="14">
        <f>(0.24*((C47+0.9*'Cooling Tower &amp; Corrugated Fill'!$C$12))+0.62198*(0.61094*EXP(17.625*(((C47+0.9*'Cooling Tower &amp; Corrugated Fill'!$C$12))-32)/1.8/((((C47+0.9*'Cooling Tower &amp; Corrugated Fill'!$C$12))-32)/1.8+243.04)))/('Cooling Tower &amp; Corrugated Fill'!$C$14-(0.61094*EXP(17.625*(((C47+0.9*'Cooling Tower &amp; Corrugated Fill'!$C$12))-32)/1.8/((((C47+0.9*'Cooling Tower &amp; Corrugated Fill'!$C$12))-32)/1.8+243.04))))*(1061+0.444*((C47+0.9*'Cooling Tower &amp; Corrugated Fill'!$C$12))))-('Merkel Solver'!$C$4+'Cooling Tower &amp; Corrugated Fill'!$C$13*0.9*'Cooling Tower &amp; Corrugated Fill'!$C$12)</f>
        <v/>
      </c>
      <c r="H47" s="22">
        <f>IF(MIN(D47:G47)&lt;=0,99999,'Cooling Tower &amp; Corrugated Fill'!$C$12/4*(1/D47+1/E47+1/F47+1/G47))</f>
        <v/>
      </c>
    </row>
    <row r="48">
      <c r="B48" s="30" t="n">
        <v>4.2</v>
      </c>
      <c r="C48" s="12">
        <f>'Dashboard'!$C$9+B48</f>
        <v/>
      </c>
      <c r="D48" s="14">
        <f>(0.24*((C48+0.1*'Cooling Tower &amp; Corrugated Fill'!$C$12))+0.62198*(0.61094*EXP(17.625*(((C48+0.1*'Cooling Tower &amp; Corrugated Fill'!$C$12))-32)/1.8/((((C48+0.1*'Cooling Tower &amp; Corrugated Fill'!$C$12))-32)/1.8+243.04)))/('Cooling Tower &amp; Corrugated Fill'!$C$14-(0.61094*EXP(17.625*(((C48+0.1*'Cooling Tower &amp; Corrugated Fill'!$C$12))-32)/1.8/((((C48+0.1*'Cooling Tower &amp; Corrugated Fill'!$C$12))-32)/1.8+243.04))))*(1061+0.444*((C48+0.1*'Cooling Tower &amp; Corrugated Fill'!$C$12))))-('Merkel Solver'!$C$4+'Cooling Tower &amp; Corrugated Fill'!$C$13*0.1*'Cooling Tower &amp; Corrugated Fill'!$C$12)</f>
        <v/>
      </c>
      <c r="E48" s="14">
        <f>(0.24*((C48+0.4*'Cooling Tower &amp; Corrugated Fill'!$C$12))+0.62198*(0.61094*EXP(17.625*(((C48+0.4*'Cooling Tower &amp; Corrugated Fill'!$C$12))-32)/1.8/((((C48+0.4*'Cooling Tower &amp; Corrugated Fill'!$C$12))-32)/1.8+243.04)))/('Cooling Tower &amp; Corrugated Fill'!$C$14-(0.61094*EXP(17.625*(((C48+0.4*'Cooling Tower &amp; Corrugated Fill'!$C$12))-32)/1.8/((((C48+0.4*'Cooling Tower &amp; Corrugated Fill'!$C$12))-32)/1.8+243.04))))*(1061+0.444*((C48+0.4*'Cooling Tower &amp; Corrugated Fill'!$C$12))))-('Merkel Solver'!$C$4+'Cooling Tower &amp; Corrugated Fill'!$C$13*0.4*'Cooling Tower &amp; Corrugated Fill'!$C$12)</f>
        <v/>
      </c>
      <c r="F48" s="14">
        <f>(0.24*((C48+0.6*'Cooling Tower &amp; Corrugated Fill'!$C$12))+0.62198*(0.61094*EXP(17.625*(((C48+0.6*'Cooling Tower &amp; Corrugated Fill'!$C$12))-32)/1.8/((((C48+0.6*'Cooling Tower &amp; Corrugated Fill'!$C$12))-32)/1.8+243.04)))/('Cooling Tower &amp; Corrugated Fill'!$C$14-(0.61094*EXP(17.625*(((C48+0.6*'Cooling Tower &amp; Corrugated Fill'!$C$12))-32)/1.8/((((C48+0.6*'Cooling Tower &amp; Corrugated Fill'!$C$12))-32)/1.8+243.04))))*(1061+0.444*((C48+0.6*'Cooling Tower &amp; Corrugated Fill'!$C$12))))-('Merkel Solver'!$C$4+'Cooling Tower &amp; Corrugated Fill'!$C$13*0.6*'Cooling Tower &amp; Corrugated Fill'!$C$12)</f>
        <v/>
      </c>
      <c r="G48" s="14">
        <f>(0.24*((C48+0.9*'Cooling Tower &amp; Corrugated Fill'!$C$12))+0.62198*(0.61094*EXP(17.625*(((C48+0.9*'Cooling Tower &amp; Corrugated Fill'!$C$12))-32)/1.8/((((C48+0.9*'Cooling Tower &amp; Corrugated Fill'!$C$12))-32)/1.8+243.04)))/('Cooling Tower &amp; Corrugated Fill'!$C$14-(0.61094*EXP(17.625*(((C48+0.9*'Cooling Tower &amp; Corrugated Fill'!$C$12))-32)/1.8/((((C48+0.9*'Cooling Tower &amp; Corrugated Fill'!$C$12))-32)/1.8+243.04))))*(1061+0.444*((C48+0.9*'Cooling Tower &amp; Corrugated Fill'!$C$12))))-('Merkel Solver'!$C$4+'Cooling Tower &amp; Corrugated Fill'!$C$13*0.9*'Cooling Tower &amp; Corrugated Fill'!$C$12)</f>
        <v/>
      </c>
      <c r="H48" s="22">
        <f>IF(MIN(D48:G48)&lt;=0,99999,'Cooling Tower &amp; Corrugated Fill'!$C$12/4*(1/D48+1/E48+1/F48+1/G48))</f>
        <v/>
      </c>
    </row>
    <row r="49">
      <c r="B49" s="30" t="n">
        <v>4.3</v>
      </c>
      <c r="C49" s="12">
        <f>'Dashboard'!$C$9+B49</f>
        <v/>
      </c>
      <c r="D49" s="14">
        <f>(0.24*((C49+0.1*'Cooling Tower &amp; Corrugated Fill'!$C$12))+0.62198*(0.61094*EXP(17.625*(((C49+0.1*'Cooling Tower &amp; Corrugated Fill'!$C$12))-32)/1.8/((((C49+0.1*'Cooling Tower &amp; Corrugated Fill'!$C$12))-32)/1.8+243.04)))/('Cooling Tower &amp; Corrugated Fill'!$C$14-(0.61094*EXP(17.625*(((C49+0.1*'Cooling Tower &amp; Corrugated Fill'!$C$12))-32)/1.8/((((C49+0.1*'Cooling Tower &amp; Corrugated Fill'!$C$12))-32)/1.8+243.04))))*(1061+0.444*((C49+0.1*'Cooling Tower &amp; Corrugated Fill'!$C$12))))-('Merkel Solver'!$C$4+'Cooling Tower &amp; Corrugated Fill'!$C$13*0.1*'Cooling Tower &amp; Corrugated Fill'!$C$12)</f>
        <v/>
      </c>
      <c r="E49" s="14">
        <f>(0.24*((C49+0.4*'Cooling Tower &amp; Corrugated Fill'!$C$12))+0.62198*(0.61094*EXP(17.625*(((C49+0.4*'Cooling Tower &amp; Corrugated Fill'!$C$12))-32)/1.8/((((C49+0.4*'Cooling Tower &amp; Corrugated Fill'!$C$12))-32)/1.8+243.04)))/('Cooling Tower &amp; Corrugated Fill'!$C$14-(0.61094*EXP(17.625*(((C49+0.4*'Cooling Tower &amp; Corrugated Fill'!$C$12))-32)/1.8/((((C49+0.4*'Cooling Tower &amp; Corrugated Fill'!$C$12))-32)/1.8+243.04))))*(1061+0.444*((C49+0.4*'Cooling Tower &amp; Corrugated Fill'!$C$12))))-('Merkel Solver'!$C$4+'Cooling Tower &amp; Corrugated Fill'!$C$13*0.4*'Cooling Tower &amp; Corrugated Fill'!$C$12)</f>
        <v/>
      </c>
      <c r="F49" s="14">
        <f>(0.24*((C49+0.6*'Cooling Tower &amp; Corrugated Fill'!$C$12))+0.62198*(0.61094*EXP(17.625*(((C49+0.6*'Cooling Tower &amp; Corrugated Fill'!$C$12))-32)/1.8/((((C49+0.6*'Cooling Tower &amp; Corrugated Fill'!$C$12))-32)/1.8+243.04)))/('Cooling Tower &amp; Corrugated Fill'!$C$14-(0.61094*EXP(17.625*(((C49+0.6*'Cooling Tower &amp; Corrugated Fill'!$C$12))-32)/1.8/((((C49+0.6*'Cooling Tower &amp; Corrugated Fill'!$C$12))-32)/1.8+243.04))))*(1061+0.444*((C49+0.6*'Cooling Tower &amp; Corrugated Fill'!$C$12))))-('Merkel Solver'!$C$4+'Cooling Tower &amp; Corrugated Fill'!$C$13*0.6*'Cooling Tower &amp; Corrugated Fill'!$C$12)</f>
        <v/>
      </c>
      <c r="G49" s="14">
        <f>(0.24*((C49+0.9*'Cooling Tower &amp; Corrugated Fill'!$C$12))+0.62198*(0.61094*EXP(17.625*(((C49+0.9*'Cooling Tower &amp; Corrugated Fill'!$C$12))-32)/1.8/((((C49+0.9*'Cooling Tower &amp; Corrugated Fill'!$C$12))-32)/1.8+243.04)))/('Cooling Tower &amp; Corrugated Fill'!$C$14-(0.61094*EXP(17.625*(((C49+0.9*'Cooling Tower &amp; Corrugated Fill'!$C$12))-32)/1.8/((((C49+0.9*'Cooling Tower &amp; Corrugated Fill'!$C$12))-32)/1.8+243.04))))*(1061+0.444*((C49+0.9*'Cooling Tower &amp; Corrugated Fill'!$C$12))))-('Merkel Solver'!$C$4+'Cooling Tower &amp; Corrugated Fill'!$C$13*0.9*'Cooling Tower &amp; Corrugated Fill'!$C$12)</f>
        <v/>
      </c>
      <c r="H49" s="22">
        <f>IF(MIN(D49:G49)&lt;=0,99999,'Cooling Tower &amp; Corrugated Fill'!$C$12/4*(1/D49+1/E49+1/F49+1/G49))</f>
        <v/>
      </c>
    </row>
    <row r="50">
      <c r="B50" s="30" t="n">
        <v>4.4</v>
      </c>
      <c r="C50" s="12">
        <f>'Dashboard'!$C$9+B50</f>
        <v/>
      </c>
      <c r="D50" s="14">
        <f>(0.24*((C50+0.1*'Cooling Tower &amp; Corrugated Fill'!$C$12))+0.62198*(0.61094*EXP(17.625*(((C50+0.1*'Cooling Tower &amp; Corrugated Fill'!$C$12))-32)/1.8/((((C50+0.1*'Cooling Tower &amp; Corrugated Fill'!$C$12))-32)/1.8+243.04)))/('Cooling Tower &amp; Corrugated Fill'!$C$14-(0.61094*EXP(17.625*(((C50+0.1*'Cooling Tower &amp; Corrugated Fill'!$C$12))-32)/1.8/((((C50+0.1*'Cooling Tower &amp; Corrugated Fill'!$C$12))-32)/1.8+243.04))))*(1061+0.444*((C50+0.1*'Cooling Tower &amp; Corrugated Fill'!$C$12))))-('Merkel Solver'!$C$4+'Cooling Tower &amp; Corrugated Fill'!$C$13*0.1*'Cooling Tower &amp; Corrugated Fill'!$C$12)</f>
        <v/>
      </c>
      <c r="E50" s="14">
        <f>(0.24*((C50+0.4*'Cooling Tower &amp; Corrugated Fill'!$C$12))+0.62198*(0.61094*EXP(17.625*(((C50+0.4*'Cooling Tower &amp; Corrugated Fill'!$C$12))-32)/1.8/((((C50+0.4*'Cooling Tower &amp; Corrugated Fill'!$C$12))-32)/1.8+243.04)))/('Cooling Tower &amp; Corrugated Fill'!$C$14-(0.61094*EXP(17.625*(((C50+0.4*'Cooling Tower &amp; Corrugated Fill'!$C$12))-32)/1.8/((((C50+0.4*'Cooling Tower &amp; Corrugated Fill'!$C$12))-32)/1.8+243.04))))*(1061+0.444*((C50+0.4*'Cooling Tower &amp; Corrugated Fill'!$C$12))))-('Merkel Solver'!$C$4+'Cooling Tower &amp; Corrugated Fill'!$C$13*0.4*'Cooling Tower &amp; Corrugated Fill'!$C$12)</f>
        <v/>
      </c>
      <c r="F50" s="14">
        <f>(0.24*((C50+0.6*'Cooling Tower &amp; Corrugated Fill'!$C$12))+0.62198*(0.61094*EXP(17.625*(((C50+0.6*'Cooling Tower &amp; Corrugated Fill'!$C$12))-32)/1.8/((((C50+0.6*'Cooling Tower &amp; Corrugated Fill'!$C$12))-32)/1.8+243.04)))/('Cooling Tower &amp; Corrugated Fill'!$C$14-(0.61094*EXP(17.625*(((C50+0.6*'Cooling Tower &amp; Corrugated Fill'!$C$12))-32)/1.8/((((C50+0.6*'Cooling Tower &amp; Corrugated Fill'!$C$12))-32)/1.8+243.04))))*(1061+0.444*((C50+0.6*'Cooling Tower &amp; Corrugated Fill'!$C$12))))-('Merkel Solver'!$C$4+'Cooling Tower &amp; Corrugated Fill'!$C$13*0.6*'Cooling Tower &amp; Corrugated Fill'!$C$12)</f>
        <v/>
      </c>
      <c r="G50" s="14">
        <f>(0.24*((C50+0.9*'Cooling Tower &amp; Corrugated Fill'!$C$12))+0.62198*(0.61094*EXP(17.625*(((C50+0.9*'Cooling Tower &amp; Corrugated Fill'!$C$12))-32)/1.8/((((C50+0.9*'Cooling Tower &amp; Corrugated Fill'!$C$12))-32)/1.8+243.04)))/('Cooling Tower &amp; Corrugated Fill'!$C$14-(0.61094*EXP(17.625*(((C50+0.9*'Cooling Tower &amp; Corrugated Fill'!$C$12))-32)/1.8/((((C50+0.9*'Cooling Tower &amp; Corrugated Fill'!$C$12))-32)/1.8+243.04))))*(1061+0.444*((C50+0.9*'Cooling Tower &amp; Corrugated Fill'!$C$12))))-('Merkel Solver'!$C$4+'Cooling Tower &amp; Corrugated Fill'!$C$13*0.9*'Cooling Tower &amp; Corrugated Fill'!$C$12)</f>
        <v/>
      </c>
      <c r="H50" s="22">
        <f>IF(MIN(D50:G50)&lt;=0,99999,'Cooling Tower &amp; Corrugated Fill'!$C$12/4*(1/D50+1/E50+1/F50+1/G50))</f>
        <v/>
      </c>
    </row>
    <row r="51">
      <c r="B51" s="30" t="n">
        <v>4.5</v>
      </c>
      <c r="C51" s="12">
        <f>'Dashboard'!$C$9+B51</f>
        <v/>
      </c>
      <c r="D51" s="14">
        <f>(0.24*((C51+0.1*'Cooling Tower &amp; Corrugated Fill'!$C$12))+0.62198*(0.61094*EXP(17.625*(((C51+0.1*'Cooling Tower &amp; Corrugated Fill'!$C$12))-32)/1.8/((((C51+0.1*'Cooling Tower &amp; Corrugated Fill'!$C$12))-32)/1.8+243.04)))/('Cooling Tower &amp; Corrugated Fill'!$C$14-(0.61094*EXP(17.625*(((C51+0.1*'Cooling Tower &amp; Corrugated Fill'!$C$12))-32)/1.8/((((C51+0.1*'Cooling Tower &amp; Corrugated Fill'!$C$12))-32)/1.8+243.04))))*(1061+0.444*((C51+0.1*'Cooling Tower &amp; Corrugated Fill'!$C$12))))-('Merkel Solver'!$C$4+'Cooling Tower &amp; Corrugated Fill'!$C$13*0.1*'Cooling Tower &amp; Corrugated Fill'!$C$12)</f>
        <v/>
      </c>
      <c r="E51" s="14">
        <f>(0.24*((C51+0.4*'Cooling Tower &amp; Corrugated Fill'!$C$12))+0.62198*(0.61094*EXP(17.625*(((C51+0.4*'Cooling Tower &amp; Corrugated Fill'!$C$12))-32)/1.8/((((C51+0.4*'Cooling Tower &amp; Corrugated Fill'!$C$12))-32)/1.8+243.04)))/('Cooling Tower &amp; Corrugated Fill'!$C$14-(0.61094*EXP(17.625*(((C51+0.4*'Cooling Tower &amp; Corrugated Fill'!$C$12))-32)/1.8/((((C51+0.4*'Cooling Tower &amp; Corrugated Fill'!$C$12))-32)/1.8+243.04))))*(1061+0.444*((C51+0.4*'Cooling Tower &amp; Corrugated Fill'!$C$12))))-('Merkel Solver'!$C$4+'Cooling Tower &amp; Corrugated Fill'!$C$13*0.4*'Cooling Tower &amp; Corrugated Fill'!$C$12)</f>
        <v/>
      </c>
      <c r="F51" s="14">
        <f>(0.24*((C51+0.6*'Cooling Tower &amp; Corrugated Fill'!$C$12))+0.62198*(0.61094*EXP(17.625*(((C51+0.6*'Cooling Tower &amp; Corrugated Fill'!$C$12))-32)/1.8/((((C51+0.6*'Cooling Tower &amp; Corrugated Fill'!$C$12))-32)/1.8+243.04)))/('Cooling Tower &amp; Corrugated Fill'!$C$14-(0.61094*EXP(17.625*(((C51+0.6*'Cooling Tower &amp; Corrugated Fill'!$C$12))-32)/1.8/((((C51+0.6*'Cooling Tower &amp; Corrugated Fill'!$C$12))-32)/1.8+243.04))))*(1061+0.444*((C51+0.6*'Cooling Tower &amp; Corrugated Fill'!$C$12))))-('Merkel Solver'!$C$4+'Cooling Tower &amp; Corrugated Fill'!$C$13*0.6*'Cooling Tower &amp; Corrugated Fill'!$C$12)</f>
        <v/>
      </c>
      <c r="G51" s="14">
        <f>(0.24*((C51+0.9*'Cooling Tower &amp; Corrugated Fill'!$C$12))+0.62198*(0.61094*EXP(17.625*(((C51+0.9*'Cooling Tower &amp; Corrugated Fill'!$C$12))-32)/1.8/((((C51+0.9*'Cooling Tower &amp; Corrugated Fill'!$C$12))-32)/1.8+243.04)))/('Cooling Tower &amp; Corrugated Fill'!$C$14-(0.61094*EXP(17.625*(((C51+0.9*'Cooling Tower &amp; Corrugated Fill'!$C$12))-32)/1.8/((((C51+0.9*'Cooling Tower &amp; Corrugated Fill'!$C$12))-32)/1.8+243.04))))*(1061+0.444*((C51+0.9*'Cooling Tower &amp; Corrugated Fill'!$C$12))))-('Merkel Solver'!$C$4+'Cooling Tower &amp; Corrugated Fill'!$C$13*0.9*'Cooling Tower &amp; Corrugated Fill'!$C$12)</f>
        <v/>
      </c>
      <c r="H51" s="22">
        <f>IF(MIN(D51:G51)&lt;=0,99999,'Cooling Tower &amp; Corrugated Fill'!$C$12/4*(1/D51+1/E51+1/F51+1/G51))</f>
        <v/>
      </c>
    </row>
    <row r="52">
      <c r="B52" s="30" t="n">
        <v>4.6</v>
      </c>
      <c r="C52" s="12">
        <f>'Dashboard'!$C$9+B52</f>
        <v/>
      </c>
      <c r="D52" s="14">
        <f>(0.24*((C52+0.1*'Cooling Tower &amp; Corrugated Fill'!$C$12))+0.62198*(0.61094*EXP(17.625*(((C52+0.1*'Cooling Tower &amp; Corrugated Fill'!$C$12))-32)/1.8/((((C52+0.1*'Cooling Tower &amp; Corrugated Fill'!$C$12))-32)/1.8+243.04)))/('Cooling Tower &amp; Corrugated Fill'!$C$14-(0.61094*EXP(17.625*(((C52+0.1*'Cooling Tower &amp; Corrugated Fill'!$C$12))-32)/1.8/((((C52+0.1*'Cooling Tower &amp; Corrugated Fill'!$C$12))-32)/1.8+243.04))))*(1061+0.444*((C52+0.1*'Cooling Tower &amp; Corrugated Fill'!$C$12))))-('Merkel Solver'!$C$4+'Cooling Tower &amp; Corrugated Fill'!$C$13*0.1*'Cooling Tower &amp; Corrugated Fill'!$C$12)</f>
        <v/>
      </c>
      <c r="E52" s="14">
        <f>(0.24*((C52+0.4*'Cooling Tower &amp; Corrugated Fill'!$C$12))+0.62198*(0.61094*EXP(17.625*(((C52+0.4*'Cooling Tower &amp; Corrugated Fill'!$C$12))-32)/1.8/((((C52+0.4*'Cooling Tower &amp; Corrugated Fill'!$C$12))-32)/1.8+243.04)))/('Cooling Tower &amp; Corrugated Fill'!$C$14-(0.61094*EXP(17.625*(((C52+0.4*'Cooling Tower &amp; Corrugated Fill'!$C$12))-32)/1.8/((((C52+0.4*'Cooling Tower &amp; Corrugated Fill'!$C$12))-32)/1.8+243.04))))*(1061+0.444*((C52+0.4*'Cooling Tower &amp; Corrugated Fill'!$C$12))))-('Merkel Solver'!$C$4+'Cooling Tower &amp; Corrugated Fill'!$C$13*0.4*'Cooling Tower &amp; Corrugated Fill'!$C$12)</f>
        <v/>
      </c>
      <c r="F52" s="14">
        <f>(0.24*((C52+0.6*'Cooling Tower &amp; Corrugated Fill'!$C$12))+0.62198*(0.61094*EXP(17.625*(((C52+0.6*'Cooling Tower &amp; Corrugated Fill'!$C$12))-32)/1.8/((((C52+0.6*'Cooling Tower &amp; Corrugated Fill'!$C$12))-32)/1.8+243.04)))/('Cooling Tower &amp; Corrugated Fill'!$C$14-(0.61094*EXP(17.625*(((C52+0.6*'Cooling Tower &amp; Corrugated Fill'!$C$12))-32)/1.8/((((C52+0.6*'Cooling Tower &amp; Corrugated Fill'!$C$12))-32)/1.8+243.04))))*(1061+0.444*((C52+0.6*'Cooling Tower &amp; Corrugated Fill'!$C$12))))-('Merkel Solver'!$C$4+'Cooling Tower &amp; Corrugated Fill'!$C$13*0.6*'Cooling Tower &amp; Corrugated Fill'!$C$12)</f>
        <v/>
      </c>
      <c r="G52" s="14">
        <f>(0.24*((C52+0.9*'Cooling Tower &amp; Corrugated Fill'!$C$12))+0.62198*(0.61094*EXP(17.625*(((C52+0.9*'Cooling Tower &amp; Corrugated Fill'!$C$12))-32)/1.8/((((C52+0.9*'Cooling Tower &amp; Corrugated Fill'!$C$12))-32)/1.8+243.04)))/('Cooling Tower &amp; Corrugated Fill'!$C$14-(0.61094*EXP(17.625*(((C52+0.9*'Cooling Tower &amp; Corrugated Fill'!$C$12))-32)/1.8/((((C52+0.9*'Cooling Tower &amp; Corrugated Fill'!$C$12))-32)/1.8+243.04))))*(1061+0.444*((C52+0.9*'Cooling Tower &amp; Corrugated Fill'!$C$12))))-('Merkel Solver'!$C$4+'Cooling Tower &amp; Corrugated Fill'!$C$13*0.9*'Cooling Tower &amp; Corrugated Fill'!$C$12)</f>
        <v/>
      </c>
      <c r="H52" s="22">
        <f>IF(MIN(D52:G52)&lt;=0,99999,'Cooling Tower &amp; Corrugated Fill'!$C$12/4*(1/D52+1/E52+1/F52+1/G52))</f>
        <v/>
      </c>
    </row>
    <row r="53">
      <c r="B53" s="30" t="n">
        <v>4.7</v>
      </c>
      <c r="C53" s="12">
        <f>'Dashboard'!$C$9+B53</f>
        <v/>
      </c>
      <c r="D53" s="14">
        <f>(0.24*((C53+0.1*'Cooling Tower &amp; Corrugated Fill'!$C$12))+0.62198*(0.61094*EXP(17.625*(((C53+0.1*'Cooling Tower &amp; Corrugated Fill'!$C$12))-32)/1.8/((((C53+0.1*'Cooling Tower &amp; Corrugated Fill'!$C$12))-32)/1.8+243.04)))/('Cooling Tower &amp; Corrugated Fill'!$C$14-(0.61094*EXP(17.625*(((C53+0.1*'Cooling Tower &amp; Corrugated Fill'!$C$12))-32)/1.8/((((C53+0.1*'Cooling Tower &amp; Corrugated Fill'!$C$12))-32)/1.8+243.04))))*(1061+0.444*((C53+0.1*'Cooling Tower &amp; Corrugated Fill'!$C$12))))-('Merkel Solver'!$C$4+'Cooling Tower &amp; Corrugated Fill'!$C$13*0.1*'Cooling Tower &amp; Corrugated Fill'!$C$12)</f>
        <v/>
      </c>
      <c r="E53" s="14">
        <f>(0.24*((C53+0.4*'Cooling Tower &amp; Corrugated Fill'!$C$12))+0.62198*(0.61094*EXP(17.625*(((C53+0.4*'Cooling Tower &amp; Corrugated Fill'!$C$12))-32)/1.8/((((C53+0.4*'Cooling Tower &amp; Corrugated Fill'!$C$12))-32)/1.8+243.04)))/('Cooling Tower &amp; Corrugated Fill'!$C$14-(0.61094*EXP(17.625*(((C53+0.4*'Cooling Tower &amp; Corrugated Fill'!$C$12))-32)/1.8/((((C53+0.4*'Cooling Tower &amp; Corrugated Fill'!$C$12))-32)/1.8+243.04))))*(1061+0.444*((C53+0.4*'Cooling Tower &amp; Corrugated Fill'!$C$12))))-('Merkel Solver'!$C$4+'Cooling Tower &amp; Corrugated Fill'!$C$13*0.4*'Cooling Tower &amp; Corrugated Fill'!$C$12)</f>
        <v/>
      </c>
      <c r="F53" s="14">
        <f>(0.24*((C53+0.6*'Cooling Tower &amp; Corrugated Fill'!$C$12))+0.62198*(0.61094*EXP(17.625*(((C53+0.6*'Cooling Tower &amp; Corrugated Fill'!$C$12))-32)/1.8/((((C53+0.6*'Cooling Tower &amp; Corrugated Fill'!$C$12))-32)/1.8+243.04)))/('Cooling Tower &amp; Corrugated Fill'!$C$14-(0.61094*EXP(17.625*(((C53+0.6*'Cooling Tower &amp; Corrugated Fill'!$C$12))-32)/1.8/((((C53+0.6*'Cooling Tower &amp; Corrugated Fill'!$C$12))-32)/1.8+243.04))))*(1061+0.444*((C53+0.6*'Cooling Tower &amp; Corrugated Fill'!$C$12))))-('Merkel Solver'!$C$4+'Cooling Tower &amp; Corrugated Fill'!$C$13*0.6*'Cooling Tower &amp; Corrugated Fill'!$C$12)</f>
        <v/>
      </c>
      <c r="G53" s="14">
        <f>(0.24*((C53+0.9*'Cooling Tower &amp; Corrugated Fill'!$C$12))+0.62198*(0.61094*EXP(17.625*(((C53+0.9*'Cooling Tower &amp; Corrugated Fill'!$C$12))-32)/1.8/((((C53+0.9*'Cooling Tower &amp; Corrugated Fill'!$C$12))-32)/1.8+243.04)))/('Cooling Tower &amp; Corrugated Fill'!$C$14-(0.61094*EXP(17.625*(((C53+0.9*'Cooling Tower &amp; Corrugated Fill'!$C$12))-32)/1.8/((((C53+0.9*'Cooling Tower &amp; Corrugated Fill'!$C$12))-32)/1.8+243.04))))*(1061+0.444*((C53+0.9*'Cooling Tower &amp; Corrugated Fill'!$C$12))))-('Merkel Solver'!$C$4+'Cooling Tower &amp; Corrugated Fill'!$C$13*0.9*'Cooling Tower &amp; Corrugated Fill'!$C$12)</f>
        <v/>
      </c>
      <c r="H53" s="22">
        <f>IF(MIN(D53:G53)&lt;=0,99999,'Cooling Tower &amp; Corrugated Fill'!$C$12/4*(1/D53+1/E53+1/F53+1/G53))</f>
        <v/>
      </c>
    </row>
    <row r="54">
      <c r="B54" s="30" t="n">
        <v>4.8</v>
      </c>
      <c r="C54" s="12">
        <f>'Dashboard'!$C$9+B54</f>
        <v/>
      </c>
      <c r="D54" s="14">
        <f>(0.24*((C54+0.1*'Cooling Tower &amp; Corrugated Fill'!$C$12))+0.62198*(0.61094*EXP(17.625*(((C54+0.1*'Cooling Tower &amp; Corrugated Fill'!$C$12))-32)/1.8/((((C54+0.1*'Cooling Tower &amp; Corrugated Fill'!$C$12))-32)/1.8+243.04)))/('Cooling Tower &amp; Corrugated Fill'!$C$14-(0.61094*EXP(17.625*(((C54+0.1*'Cooling Tower &amp; Corrugated Fill'!$C$12))-32)/1.8/((((C54+0.1*'Cooling Tower &amp; Corrugated Fill'!$C$12))-32)/1.8+243.04))))*(1061+0.444*((C54+0.1*'Cooling Tower &amp; Corrugated Fill'!$C$12))))-('Merkel Solver'!$C$4+'Cooling Tower &amp; Corrugated Fill'!$C$13*0.1*'Cooling Tower &amp; Corrugated Fill'!$C$12)</f>
        <v/>
      </c>
      <c r="E54" s="14">
        <f>(0.24*((C54+0.4*'Cooling Tower &amp; Corrugated Fill'!$C$12))+0.62198*(0.61094*EXP(17.625*(((C54+0.4*'Cooling Tower &amp; Corrugated Fill'!$C$12))-32)/1.8/((((C54+0.4*'Cooling Tower &amp; Corrugated Fill'!$C$12))-32)/1.8+243.04)))/('Cooling Tower &amp; Corrugated Fill'!$C$14-(0.61094*EXP(17.625*(((C54+0.4*'Cooling Tower &amp; Corrugated Fill'!$C$12))-32)/1.8/((((C54+0.4*'Cooling Tower &amp; Corrugated Fill'!$C$12))-32)/1.8+243.04))))*(1061+0.444*((C54+0.4*'Cooling Tower &amp; Corrugated Fill'!$C$12))))-('Merkel Solver'!$C$4+'Cooling Tower &amp; Corrugated Fill'!$C$13*0.4*'Cooling Tower &amp; Corrugated Fill'!$C$12)</f>
        <v/>
      </c>
      <c r="F54" s="14">
        <f>(0.24*((C54+0.6*'Cooling Tower &amp; Corrugated Fill'!$C$12))+0.62198*(0.61094*EXP(17.625*(((C54+0.6*'Cooling Tower &amp; Corrugated Fill'!$C$12))-32)/1.8/((((C54+0.6*'Cooling Tower &amp; Corrugated Fill'!$C$12))-32)/1.8+243.04)))/('Cooling Tower &amp; Corrugated Fill'!$C$14-(0.61094*EXP(17.625*(((C54+0.6*'Cooling Tower &amp; Corrugated Fill'!$C$12))-32)/1.8/((((C54+0.6*'Cooling Tower &amp; Corrugated Fill'!$C$12))-32)/1.8+243.04))))*(1061+0.444*((C54+0.6*'Cooling Tower &amp; Corrugated Fill'!$C$12))))-('Merkel Solver'!$C$4+'Cooling Tower &amp; Corrugated Fill'!$C$13*0.6*'Cooling Tower &amp; Corrugated Fill'!$C$12)</f>
        <v/>
      </c>
      <c r="G54" s="14">
        <f>(0.24*((C54+0.9*'Cooling Tower &amp; Corrugated Fill'!$C$12))+0.62198*(0.61094*EXP(17.625*(((C54+0.9*'Cooling Tower &amp; Corrugated Fill'!$C$12))-32)/1.8/((((C54+0.9*'Cooling Tower &amp; Corrugated Fill'!$C$12))-32)/1.8+243.04)))/('Cooling Tower &amp; Corrugated Fill'!$C$14-(0.61094*EXP(17.625*(((C54+0.9*'Cooling Tower &amp; Corrugated Fill'!$C$12))-32)/1.8/((((C54+0.9*'Cooling Tower &amp; Corrugated Fill'!$C$12))-32)/1.8+243.04))))*(1061+0.444*((C54+0.9*'Cooling Tower &amp; Corrugated Fill'!$C$12))))-('Merkel Solver'!$C$4+'Cooling Tower &amp; Corrugated Fill'!$C$13*0.9*'Cooling Tower &amp; Corrugated Fill'!$C$12)</f>
        <v/>
      </c>
      <c r="H54" s="22">
        <f>IF(MIN(D54:G54)&lt;=0,99999,'Cooling Tower &amp; Corrugated Fill'!$C$12/4*(1/D54+1/E54+1/F54+1/G54))</f>
        <v/>
      </c>
    </row>
    <row r="55">
      <c r="B55" s="30" t="n">
        <v>4.9</v>
      </c>
      <c r="C55" s="12">
        <f>'Dashboard'!$C$9+B55</f>
        <v/>
      </c>
      <c r="D55" s="14">
        <f>(0.24*((C55+0.1*'Cooling Tower &amp; Corrugated Fill'!$C$12))+0.62198*(0.61094*EXP(17.625*(((C55+0.1*'Cooling Tower &amp; Corrugated Fill'!$C$12))-32)/1.8/((((C55+0.1*'Cooling Tower &amp; Corrugated Fill'!$C$12))-32)/1.8+243.04)))/('Cooling Tower &amp; Corrugated Fill'!$C$14-(0.61094*EXP(17.625*(((C55+0.1*'Cooling Tower &amp; Corrugated Fill'!$C$12))-32)/1.8/((((C55+0.1*'Cooling Tower &amp; Corrugated Fill'!$C$12))-32)/1.8+243.04))))*(1061+0.444*((C55+0.1*'Cooling Tower &amp; Corrugated Fill'!$C$12))))-('Merkel Solver'!$C$4+'Cooling Tower &amp; Corrugated Fill'!$C$13*0.1*'Cooling Tower &amp; Corrugated Fill'!$C$12)</f>
        <v/>
      </c>
      <c r="E55" s="14">
        <f>(0.24*((C55+0.4*'Cooling Tower &amp; Corrugated Fill'!$C$12))+0.62198*(0.61094*EXP(17.625*(((C55+0.4*'Cooling Tower &amp; Corrugated Fill'!$C$12))-32)/1.8/((((C55+0.4*'Cooling Tower &amp; Corrugated Fill'!$C$12))-32)/1.8+243.04)))/('Cooling Tower &amp; Corrugated Fill'!$C$14-(0.61094*EXP(17.625*(((C55+0.4*'Cooling Tower &amp; Corrugated Fill'!$C$12))-32)/1.8/((((C55+0.4*'Cooling Tower &amp; Corrugated Fill'!$C$12))-32)/1.8+243.04))))*(1061+0.444*((C55+0.4*'Cooling Tower &amp; Corrugated Fill'!$C$12))))-('Merkel Solver'!$C$4+'Cooling Tower &amp; Corrugated Fill'!$C$13*0.4*'Cooling Tower &amp; Corrugated Fill'!$C$12)</f>
        <v/>
      </c>
      <c r="F55" s="14">
        <f>(0.24*((C55+0.6*'Cooling Tower &amp; Corrugated Fill'!$C$12))+0.62198*(0.61094*EXP(17.625*(((C55+0.6*'Cooling Tower &amp; Corrugated Fill'!$C$12))-32)/1.8/((((C55+0.6*'Cooling Tower &amp; Corrugated Fill'!$C$12))-32)/1.8+243.04)))/('Cooling Tower &amp; Corrugated Fill'!$C$14-(0.61094*EXP(17.625*(((C55+0.6*'Cooling Tower &amp; Corrugated Fill'!$C$12))-32)/1.8/((((C55+0.6*'Cooling Tower &amp; Corrugated Fill'!$C$12))-32)/1.8+243.04))))*(1061+0.444*((C55+0.6*'Cooling Tower &amp; Corrugated Fill'!$C$12))))-('Merkel Solver'!$C$4+'Cooling Tower &amp; Corrugated Fill'!$C$13*0.6*'Cooling Tower &amp; Corrugated Fill'!$C$12)</f>
        <v/>
      </c>
      <c r="G55" s="14">
        <f>(0.24*((C55+0.9*'Cooling Tower &amp; Corrugated Fill'!$C$12))+0.62198*(0.61094*EXP(17.625*(((C55+0.9*'Cooling Tower &amp; Corrugated Fill'!$C$12))-32)/1.8/((((C55+0.9*'Cooling Tower &amp; Corrugated Fill'!$C$12))-32)/1.8+243.04)))/('Cooling Tower &amp; Corrugated Fill'!$C$14-(0.61094*EXP(17.625*(((C55+0.9*'Cooling Tower &amp; Corrugated Fill'!$C$12))-32)/1.8/((((C55+0.9*'Cooling Tower &amp; Corrugated Fill'!$C$12))-32)/1.8+243.04))))*(1061+0.444*((C55+0.9*'Cooling Tower &amp; Corrugated Fill'!$C$12))))-('Merkel Solver'!$C$4+'Cooling Tower &amp; Corrugated Fill'!$C$13*0.9*'Cooling Tower &amp; Corrugated Fill'!$C$12)</f>
        <v/>
      </c>
      <c r="H55" s="22">
        <f>IF(MIN(D55:G55)&lt;=0,99999,'Cooling Tower &amp; Corrugated Fill'!$C$12/4*(1/D55+1/E55+1/F55+1/G55))</f>
        <v/>
      </c>
    </row>
    <row r="56">
      <c r="B56" s="30" t="n">
        <v>5</v>
      </c>
      <c r="C56" s="12">
        <f>'Dashboard'!$C$9+B56</f>
        <v/>
      </c>
      <c r="D56" s="14">
        <f>(0.24*((C56+0.1*'Cooling Tower &amp; Corrugated Fill'!$C$12))+0.62198*(0.61094*EXP(17.625*(((C56+0.1*'Cooling Tower &amp; Corrugated Fill'!$C$12))-32)/1.8/((((C56+0.1*'Cooling Tower &amp; Corrugated Fill'!$C$12))-32)/1.8+243.04)))/('Cooling Tower &amp; Corrugated Fill'!$C$14-(0.61094*EXP(17.625*(((C56+0.1*'Cooling Tower &amp; Corrugated Fill'!$C$12))-32)/1.8/((((C56+0.1*'Cooling Tower &amp; Corrugated Fill'!$C$12))-32)/1.8+243.04))))*(1061+0.444*((C56+0.1*'Cooling Tower &amp; Corrugated Fill'!$C$12))))-('Merkel Solver'!$C$4+'Cooling Tower &amp; Corrugated Fill'!$C$13*0.1*'Cooling Tower &amp; Corrugated Fill'!$C$12)</f>
        <v/>
      </c>
      <c r="E56" s="14">
        <f>(0.24*((C56+0.4*'Cooling Tower &amp; Corrugated Fill'!$C$12))+0.62198*(0.61094*EXP(17.625*(((C56+0.4*'Cooling Tower &amp; Corrugated Fill'!$C$12))-32)/1.8/((((C56+0.4*'Cooling Tower &amp; Corrugated Fill'!$C$12))-32)/1.8+243.04)))/('Cooling Tower &amp; Corrugated Fill'!$C$14-(0.61094*EXP(17.625*(((C56+0.4*'Cooling Tower &amp; Corrugated Fill'!$C$12))-32)/1.8/((((C56+0.4*'Cooling Tower &amp; Corrugated Fill'!$C$12))-32)/1.8+243.04))))*(1061+0.444*((C56+0.4*'Cooling Tower &amp; Corrugated Fill'!$C$12))))-('Merkel Solver'!$C$4+'Cooling Tower &amp; Corrugated Fill'!$C$13*0.4*'Cooling Tower &amp; Corrugated Fill'!$C$12)</f>
        <v/>
      </c>
      <c r="F56" s="14">
        <f>(0.24*((C56+0.6*'Cooling Tower &amp; Corrugated Fill'!$C$12))+0.62198*(0.61094*EXP(17.625*(((C56+0.6*'Cooling Tower &amp; Corrugated Fill'!$C$12))-32)/1.8/((((C56+0.6*'Cooling Tower &amp; Corrugated Fill'!$C$12))-32)/1.8+243.04)))/('Cooling Tower &amp; Corrugated Fill'!$C$14-(0.61094*EXP(17.625*(((C56+0.6*'Cooling Tower &amp; Corrugated Fill'!$C$12))-32)/1.8/((((C56+0.6*'Cooling Tower &amp; Corrugated Fill'!$C$12))-32)/1.8+243.04))))*(1061+0.444*((C56+0.6*'Cooling Tower &amp; Corrugated Fill'!$C$12))))-('Merkel Solver'!$C$4+'Cooling Tower &amp; Corrugated Fill'!$C$13*0.6*'Cooling Tower &amp; Corrugated Fill'!$C$12)</f>
        <v/>
      </c>
      <c r="G56" s="14">
        <f>(0.24*((C56+0.9*'Cooling Tower &amp; Corrugated Fill'!$C$12))+0.62198*(0.61094*EXP(17.625*(((C56+0.9*'Cooling Tower &amp; Corrugated Fill'!$C$12))-32)/1.8/((((C56+0.9*'Cooling Tower &amp; Corrugated Fill'!$C$12))-32)/1.8+243.04)))/('Cooling Tower &amp; Corrugated Fill'!$C$14-(0.61094*EXP(17.625*(((C56+0.9*'Cooling Tower &amp; Corrugated Fill'!$C$12))-32)/1.8/((((C56+0.9*'Cooling Tower &amp; Corrugated Fill'!$C$12))-32)/1.8+243.04))))*(1061+0.444*((C56+0.9*'Cooling Tower &amp; Corrugated Fill'!$C$12))))-('Merkel Solver'!$C$4+'Cooling Tower &amp; Corrugated Fill'!$C$13*0.9*'Cooling Tower &amp; Corrugated Fill'!$C$12)</f>
        <v/>
      </c>
      <c r="H56" s="22">
        <f>IF(MIN(D56:G56)&lt;=0,99999,'Cooling Tower &amp; Corrugated Fill'!$C$12/4*(1/D56+1/E56+1/F56+1/G56))</f>
        <v/>
      </c>
    </row>
    <row r="57">
      <c r="B57" s="30" t="n">
        <v>5.1</v>
      </c>
      <c r="C57" s="12">
        <f>'Dashboard'!$C$9+B57</f>
        <v/>
      </c>
      <c r="D57" s="14">
        <f>(0.24*((C57+0.1*'Cooling Tower &amp; Corrugated Fill'!$C$12))+0.62198*(0.61094*EXP(17.625*(((C57+0.1*'Cooling Tower &amp; Corrugated Fill'!$C$12))-32)/1.8/((((C57+0.1*'Cooling Tower &amp; Corrugated Fill'!$C$12))-32)/1.8+243.04)))/('Cooling Tower &amp; Corrugated Fill'!$C$14-(0.61094*EXP(17.625*(((C57+0.1*'Cooling Tower &amp; Corrugated Fill'!$C$12))-32)/1.8/((((C57+0.1*'Cooling Tower &amp; Corrugated Fill'!$C$12))-32)/1.8+243.04))))*(1061+0.444*((C57+0.1*'Cooling Tower &amp; Corrugated Fill'!$C$12))))-('Merkel Solver'!$C$4+'Cooling Tower &amp; Corrugated Fill'!$C$13*0.1*'Cooling Tower &amp; Corrugated Fill'!$C$12)</f>
        <v/>
      </c>
      <c r="E57" s="14">
        <f>(0.24*((C57+0.4*'Cooling Tower &amp; Corrugated Fill'!$C$12))+0.62198*(0.61094*EXP(17.625*(((C57+0.4*'Cooling Tower &amp; Corrugated Fill'!$C$12))-32)/1.8/((((C57+0.4*'Cooling Tower &amp; Corrugated Fill'!$C$12))-32)/1.8+243.04)))/('Cooling Tower &amp; Corrugated Fill'!$C$14-(0.61094*EXP(17.625*(((C57+0.4*'Cooling Tower &amp; Corrugated Fill'!$C$12))-32)/1.8/((((C57+0.4*'Cooling Tower &amp; Corrugated Fill'!$C$12))-32)/1.8+243.04))))*(1061+0.444*((C57+0.4*'Cooling Tower &amp; Corrugated Fill'!$C$12))))-('Merkel Solver'!$C$4+'Cooling Tower &amp; Corrugated Fill'!$C$13*0.4*'Cooling Tower &amp; Corrugated Fill'!$C$12)</f>
        <v/>
      </c>
      <c r="F57" s="14">
        <f>(0.24*((C57+0.6*'Cooling Tower &amp; Corrugated Fill'!$C$12))+0.62198*(0.61094*EXP(17.625*(((C57+0.6*'Cooling Tower &amp; Corrugated Fill'!$C$12))-32)/1.8/((((C57+0.6*'Cooling Tower &amp; Corrugated Fill'!$C$12))-32)/1.8+243.04)))/('Cooling Tower &amp; Corrugated Fill'!$C$14-(0.61094*EXP(17.625*(((C57+0.6*'Cooling Tower &amp; Corrugated Fill'!$C$12))-32)/1.8/((((C57+0.6*'Cooling Tower &amp; Corrugated Fill'!$C$12))-32)/1.8+243.04))))*(1061+0.444*((C57+0.6*'Cooling Tower &amp; Corrugated Fill'!$C$12))))-('Merkel Solver'!$C$4+'Cooling Tower &amp; Corrugated Fill'!$C$13*0.6*'Cooling Tower &amp; Corrugated Fill'!$C$12)</f>
        <v/>
      </c>
      <c r="G57" s="14">
        <f>(0.24*((C57+0.9*'Cooling Tower &amp; Corrugated Fill'!$C$12))+0.62198*(0.61094*EXP(17.625*(((C57+0.9*'Cooling Tower &amp; Corrugated Fill'!$C$12))-32)/1.8/((((C57+0.9*'Cooling Tower &amp; Corrugated Fill'!$C$12))-32)/1.8+243.04)))/('Cooling Tower &amp; Corrugated Fill'!$C$14-(0.61094*EXP(17.625*(((C57+0.9*'Cooling Tower &amp; Corrugated Fill'!$C$12))-32)/1.8/((((C57+0.9*'Cooling Tower &amp; Corrugated Fill'!$C$12))-32)/1.8+243.04))))*(1061+0.444*((C57+0.9*'Cooling Tower &amp; Corrugated Fill'!$C$12))))-('Merkel Solver'!$C$4+'Cooling Tower &amp; Corrugated Fill'!$C$13*0.9*'Cooling Tower &amp; Corrugated Fill'!$C$12)</f>
        <v/>
      </c>
      <c r="H57" s="22">
        <f>IF(MIN(D57:G57)&lt;=0,99999,'Cooling Tower &amp; Corrugated Fill'!$C$12/4*(1/D57+1/E57+1/F57+1/G57))</f>
        <v/>
      </c>
    </row>
    <row r="58">
      <c r="B58" s="30" t="n">
        <v>5.2</v>
      </c>
      <c r="C58" s="12">
        <f>'Dashboard'!$C$9+B58</f>
        <v/>
      </c>
      <c r="D58" s="14">
        <f>(0.24*((C58+0.1*'Cooling Tower &amp; Corrugated Fill'!$C$12))+0.62198*(0.61094*EXP(17.625*(((C58+0.1*'Cooling Tower &amp; Corrugated Fill'!$C$12))-32)/1.8/((((C58+0.1*'Cooling Tower &amp; Corrugated Fill'!$C$12))-32)/1.8+243.04)))/('Cooling Tower &amp; Corrugated Fill'!$C$14-(0.61094*EXP(17.625*(((C58+0.1*'Cooling Tower &amp; Corrugated Fill'!$C$12))-32)/1.8/((((C58+0.1*'Cooling Tower &amp; Corrugated Fill'!$C$12))-32)/1.8+243.04))))*(1061+0.444*((C58+0.1*'Cooling Tower &amp; Corrugated Fill'!$C$12))))-('Merkel Solver'!$C$4+'Cooling Tower &amp; Corrugated Fill'!$C$13*0.1*'Cooling Tower &amp; Corrugated Fill'!$C$12)</f>
        <v/>
      </c>
      <c r="E58" s="14">
        <f>(0.24*((C58+0.4*'Cooling Tower &amp; Corrugated Fill'!$C$12))+0.62198*(0.61094*EXP(17.625*(((C58+0.4*'Cooling Tower &amp; Corrugated Fill'!$C$12))-32)/1.8/((((C58+0.4*'Cooling Tower &amp; Corrugated Fill'!$C$12))-32)/1.8+243.04)))/('Cooling Tower &amp; Corrugated Fill'!$C$14-(0.61094*EXP(17.625*(((C58+0.4*'Cooling Tower &amp; Corrugated Fill'!$C$12))-32)/1.8/((((C58+0.4*'Cooling Tower &amp; Corrugated Fill'!$C$12))-32)/1.8+243.04))))*(1061+0.444*((C58+0.4*'Cooling Tower &amp; Corrugated Fill'!$C$12))))-('Merkel Solver'!$C$4+'Cooling Tower &amp; Corrugated Fill'!$C$13*0.4*'Cooling Tower &amp; Corrugated Fill'!$C$12)</f>
        <v/>
      </c>
      <c r="F58" s="14">
        <f>(0.24*((C58+0.6*'Cooling Tower &amp; Corrugated Fill'!$C$12))+0.62198*(0.61094*EXP(17.625*(((C58+0.6*'Cooling Tower &amp; Corrugated Fill'!$C$12))-32)/1.8/((((C58+0.6*'Cooling Tower &amp; Corrugated Fill'!$C$12))-32)/1.8+243.04)))/('Cooling Tower &amp; Corrugated Fill'!$C$14-(0.61094*EXP(17.625*(((C58+0.6*'Cooling Tower &amp; Corrugated Fill'!$C$12))-32)/1.8/((((C58+0.6*'Cooling Tower &amp; Corrugated Fill'!$C$12))-32)/1.8+243.04))))*(1061+0.444*((C58+0.6*'Cooling Tower &amp; Corrugated Fill'!$C$12))))-('Merkel Solver'!$C$4+'Cooling Tower &amp; Corrugated Fill'!$C$13*0.6*'Cooling Tower &amp; Corrugated Fill'!$C$12)</f>
        <v/>
      </c>
      <c r="G58" s="14">
        <f>(0.24*((C58+0.9*'Cooling Tower &amp; Corrugated Fill'!$C$12))+0.62198*(0.61094*EXP(17.625*(((C58+0.9*'Cooling Tower &amp; Corrugated Fill'!$C$12))-32)/1.8/((((C58+0.9*'Cooling Tower &amp; Corrugated Fill'!$C$12))-32)/1.8+243.04)))/('Cooling Tower &amp; Corrugated Fill'!$C$14-(0.61094*EXP(17.625*(((C58+0.9*'Cooling Tower &amp; Corrugated Fill'!$C$12))-32)/1.8/((((C58+0.9*'Cooling Tower &amp; Corrugated Fill'!$C$12))-32)/1.8+243.04))))*(1061+0.444*((C58+0.9*'Cooling Tower &amp; Corrugated Fill'!$C$12))))-('Merkel Solver'!$C$4+'Cooling Tower &amp; Corrugated Fill'!$C$13*0.9*'Cooling Tower &amp; Corrugated Fill'!$C$12)</f>
        <v/>
      </c>
      <c r="H58" s="22">
        <f>IF(MIN(D58:G58)&lt;=0,99999,'Cooling Tower &amp; Corrugated Fill'!$C$12/4*(1/D58+1/E58+1/F58+1/G58))</f>
        <v/>
      </c>
    </row>
    <row r="59">
      <c r="B59" s="30" t="n">
        <v>5.3</v>
      </c>
      <c r="C59" s="12">
        <f>'Dashboard'!$C$9+B59</f>
        <v/>
      </c>
      <c r="D59" s="14">
        <f>(0.24*((C59+0.1*'Cooling Tower &amp; Corrugated Fill'!$C$12))+0.62198*(0.61094*EXP(17.625*(((C59+0.1*'Cooling Tower &amp; Corrugated Fill'!$C$12))-32)/1.8/((((C59+0.1*'Cooling Tower &amp; Corrugated Fill'!$C$12))-32)/1.8+243.04)))/('Cooling Tower &amp; Corrugated Fill'!$C$14-(0.61094*EXP(17.625*(((C59+0.1*'Cooling Tower &amp; Corrugated Fill'!$C$12))-32)/1.8/((((C59+0.1*'Cooling Tower &amp; Corrugated Fill'!$C$12))-32)/1.8+243.04))))*(1061+0.444*((C59+0.1*'Cooling Tower &amp; Corrugated Fill'!$C$12))))-('Merkel Solver'!$C$4+'Cooling Tower &amp; Corrugated Fill'!$C$13*0.1*'Cooling Tower &amp; Corrugated Fill'!$C$12)</f>
        <v/>
      </c>
      <c r="E59" s="14">
        <f>(0.24*((C59+0.4*'Cooling Tower &amp; Corrugated Fill'!$C$12))+0.62198*(0.61094*EXP(17.625*(((C59+0.4*'Cooling Tower &amp; Corrugated Fill'!$C$12))-32)/1.8/((((C59+0.4*'Cooling Tower &amp; Corrugated Fill'!$C$12))-32)/1.8+243.04)))/('Cooling Tower &amp; Corrugated Fill'!$C$14-(0.61094*EXP(17.625*(((C59+0.4*'Cooling Tower &amp; Corrugated Fill'!$C$12))-32)/1.8/((((C59+0.4*'Cooling Tower &amp; Corrugated Fill'!$C$12))-32)/1.8+243.04))))*(1061+0.444*((C59+0.4*'Cooling Tower &amp; Corrugated Fill'!$C$12))))-('Merkel Solver'!$C$4+'Cooling Tower &amp; Corrugated Fill'!$C$13*0.4*'Cooling Tower &amp; Corrugated Fill'!$C$12)</f>
        <v/>
      </c>
      <c r="F59" s="14">
        <f>(0.24*((C59+0.6*'Cooling Tower &amp; Corrugated Fill'!$C$12))+0.62198*(0.61094*EXP(17.625*(((C59+0.6*'Cooling Tower &amp; Corrugated Fill'!$C$12))-32)/1.8/((((C59+0.6*'Cooling Tower &amp; Corrugated Fill'!$C$12))-32)/1.8+243.04)))/('Cooling Tower &amp; Corrugated Fill'!$C$14-(0.61094*EXP(17.625*(((C59+0.6*'Cooling Tower &amp; Corrugated Fill'!$C$12))-32)/1.8/((((C59+0.6*'Cooling Tower &amp; Corrugated Fill'!$C$12))-32)/1.8+243.04))))*(1061+0.444*((C59+0.6*'Cooling Tower &amp; Corrugated Fill'!$C$12))))-('Merkel Solver'!$C$4+'Cooling Tower &amp; Corrugated Fill'!$C$13*0.6*'Cooling Tower &amp; Corrugated Fill'!$C$12)</f>
        <v/>
      </c>
      <c r="G59" s="14">
        <f>(0.24*((C59+0.9*'Cooling Tower &amp; Corrugated Fill'!$C$12))+0.62198*(0.61094*EXP(17.625*(((C59+0.9*'Cooling Tower &amp; Corrugated Fill'!$C$12))-32)/1.8/((((C59+0.9*'Cooling Tower &amp; Corrugated Fill'!$C$12))-32)/1.8+243.04)))/('Cooling Tower &amp; Corrugated Fill'!$C$14-(0.61094*EXP(17.625*(((C59+0.9*'Cooling Tower &amp; Corrugated Fill'!$C$12))-32)/1.8/((((C59+0.9*'Cooling Tower &amp; Corrugated Fill'!$C$12))-32)/1.8+243.04))))*(1061+0.444*((C59+0.9*'Cooling Tower &amp; Corrugated Fill'!$C$12))))-('Merkel Solver'!$C$4+'Cooling Tower &amp; Corrugated Fill'!$C$13*0.9*'Cooling Tower &amp; Corrugated Fill'!$C$12)</f>
        <v/>
      </c>
      <c r="H59" s="22">
        <f>IF(MIN(D59:G59)&lt;=0,99999,'Cooling Tower &amp; Corrugated Fill'!$C$12/4*(1/D59+1/E59+1/F59+1/G59))</f>
        <v/>
      </c>
    </row>
    <row r="60">
      <c r="B60" s="30" t="n">
        <v>5.4</v>
      </c>
      <c r="C60" s="12">
        <f>'Dashboard'!$C$9+B60</f>
        <v/>
      </c>
      <c r="D60" s="14">
        <f>(0.24*((C60+0.1*'Cooling Tower &amp; Corrugated Fill'!$C$12))+0.62198*(0.61094*EXP(17.625*(((C60+0.1*'Cooling Tower &amp; Corrugated Fill'!$C$12))-32)/1.8/((((C60+0.1*'Cooling Tower &amp; Corrugated Fill'!$C$12))-32)/1.8+243.04)))/('Cooling Tower &amp; Corrugated Fill'!$C$14-(0.61094*EXP(17.625*(((C60+0.1*'Cooling Tower &amp; Corrugated Fill'!$C$12))-32)/1.8/((((C60+0.1*'Cooling Tower &amp; Corrugated Fill'!$C$12))-32)/1.8+243.04))))*(1061+0.444*((C60+0.1*'Cooling Tower &amp; Corrugated Fill'!$C$12))))-('Merkel Solver'!$C$4+'Cooling Tower &amp; Corrugated Fill'!$C$13*0.1*'Cooling Tower &amp; Corrugated Fill'!$C$12)</f>
        <v/>
      </c>
      <c r="E60" s="14">
        <f>(0.24*((C60+0.4*'Cooling Tower &amp; Corrugated Fill'!$C$12))+0.62198*(0.61094*EXP(17.625*(((C60+0.4*'Cooling Tower &amp; Corrugated Fill'!$C$12))-32)/1.8/((((C60+0.4*'Cooling Tower &amp; Corrugated Fill'!$C$12))-32)/1.8+243.04)))/('Cooling Tower &amp; Corrugated Fill'!$C$14-(0.61094*EXP(17.625*(((C60+0.4*'Cooling Tower &amp; Corrugated Fill'!$C$12))-32)/1.8/((((C60+0.4*'Cooling Tower &amp; Corrugated Fill'!$C$12))-32)/1.8+243.04))))*(1061+0.444*((C60+0.4*'Cooling Tower &amp; Corrugated Fill'!$C$12))))-('Merkel Solver'!$C$4+'Cooling Tower &amp; Corrugated Fill'!$C$13*0.4*'Cooling Tower &amp; Corrugated Fill'!$C$12)</f>
        <v/>
      </c>
      <c r="F60" s="14">
        <f>(0.24*((C60+0.6*'Cooling Tower &amp; Corrugated Fill'!$C$12))+0.62198*(0.61094*EXP(17.625*(((C60+0.6*'Cooling Tower &amp; Corrugated Fill'!$C$12))-32)/1.8/((((C60+0.6*'Cooling Tower &amp; Corrugated Fill'!$C$12))-32)/1.8+243.04)))/('Cooling Tower &amp; Corrugated Fill'!$C$14-(0.61094*EXP(17.625*(((C60+0.6*'Cooling Tower &amp; Corrugated Fill'!$C$12))-32)/1.8/((((C60+0.6*'Cooling Tower &amp; Corrugated Fill'!$C$12))-32)/1.8+243.04))))*(1061+0.444*((C60+0.6*'Cooling Tower &amp; Corrugated Fill'!$C$12))))-('Merkel Solver'!$C$4+'Cooling Tower &amp; Corrugated Fill'!$C$13*0.6*'Cooling Tower &amp; Corrugated Fill'!$C$12)</f>
        <v/>
      </c>
      <c r="G60" s="14">
        <f>(0.24*((C60+0.9*'Cooling Tower &amp; Corrugated Fill'!$C$12))+0.62198*(0.61094*EXP(17.625*(((C60+0.9*'Cooling Tower &amp; Corrugated Fill'!$C$12))-32)/1.8/((((C60+0.9*'Cooling Tower &amp; Corrugated Fill'!$C$12))-32)/1.8+243.04)))/('Cooling Tower &amp; Corrugated Fill'!$C$14-(0.61094*EXP(17.625*(((C60+0.9*'Cooling Tower &amp; Corrugated Fill'!$C$12))-32)/1.8/((((C60+0.9*'Cooling Tower &amp; Corrugated Fill'!$C$12))-32)/1.8+243.04))))*(1061+0.444*((C60+0.9*'Cooling Tower &amp; Corrugated Fill'!$C$12))))-('Merkel Solver'!$C$4+'Cooling Tower &amp; Corrugated Fill'!$C$13*0.9*'Cooling Tower &amp; Corrugated Fill'!$C$12)</f>
        <v/>
      </c>
      <c r="H60" s="22">
        <f>IF(MIN(D60:G60)&lt;=0,99999,'Cooling Tower &amp; Corrugated Fill'!$C$12/4*(1/D60+1/E60+1/F60+1/G60))</f>
        <v/>
      </c>
    </row>
    <row r="61">
      <c r="B61" s="30" t="n">
        <v>5.5</v>
      </c>
      <c r="C61" s="12">
        <f>'Dashboard'!$C$9+B61</f>
        <v/>
      </c>
      <c r="D61" s="14">
        <f>(0.24*((C61+0.1*'Cooling Tower &amp; Corrugated Fill'!$C$12))+0.62198*(0.61094*EXP(17.625*(((C61+0.1*'Cooling Tower &amp; Corrugated Fill'!$C$12))-32)/1.8/((((C61+0.1*'Cooling Tower &amp; Corrugated Fill'!$C$12))-32)/1.8+243.04)))/('Cooling Tower &amp; Corrugated Fill'!$C$14-(0.61094*EXP(17.625*(((C61+0.1*'Cooling Tower &amp; Corrugated Fill'!$C$12))-32)/1.8/((((C61+0.1*'Cooling Tower &amp; Corrugated Fill'!$C$12))-32)/1.8+243.04))))*(1061+0.444*((C61+0.1*'Cooling Tower &amp; Corrugated Fill'!$C$12))))-('Merkel Solver'!$C$4+'Cooling Tower &amp; Corrugated Fill'!$C$13*0.1*'Cooling Tower &amp; Corrugated Fill'!$C$12)</f>
        <v/>
      </c>
      <c r="E61" s="14">
        <f>(0.24*((C61+0.4*'Cooling Tower &amp; Corrugated Fill'!$C$12))+0.62198*(0.61094*EXP(17.625*(((C61+0.4*'Cooling Tower &amp; Corrugated Fill'!$C$12))-32)/1.8/((((C61+0.4*'Cooling Tower &amp; Corrugated Fill'!$C$12))-32)/1.8+243.04)))/('Cooling Tower &amp; Corrugated Fill'!$C$14-(0.61094*EXP(17.625*(((C61+0.4*'Cooling Tower &amp; Corrugated Fill'!$C$12))-32)/1.8/((((C61+0.4*'Cooling Tower &amp; Corrugated Fill'!$C$12))-32)/1.8+243.04))))*(1061+0.444*((C61+0.4*'Cooling Tower &amp; Corrugated Fill'!$C$12))))-('Merkel Solver'!$C$4+'Cooling Tower &amp; Corrugated Fill'!$C$13*0.4*'Cooling Tower &amp; Corrugated Fill'!$C$12)</f>
        <v/>
      </c>
      <c r="F61" s="14">
        <f>(0.24*((C61+0.6*'Cooling Tower &amp; Corrugated Fill'!$C$12))+0.62198*(0.61094*EXP(17.625*(((C61+0.6*'Cooling Tower &amp; Corrugated Fill'!$C$12))-32)/1.8/((((C61+0.6*'Cooling Tower &amp; Corrugated Fill'!$C$12))-32)/1.8+243.04)))/('Cooling Tower &amp; Corrugated Fill'!$C$14-(0.61094*EXP(17.625*(((C61+0.6*'Cooling Tower &amp; Corrugated Fill'!$C$12))-32)/1.8/((((C61+0.6*'Cooling Tower &amp; Corrugated Fill'!$C$12))-32)/1.8+243.04))))*(1061+0.444*((C61+0.6*'Cooling Tower &amp; Corrugated Fill'!$C$12))))-('Merkel Solver'!$C$4+'Cooling Tower &amp; Corrugated Fill'!$C$13*0.6*'Cooling Tower &amp; Corrugated Fill'!$C$12)</f>
        <v/>
      </c>
      <c r="G61" s="14">
        <f>(0.24*((C61+0.9*'Cooling Tower &amp; Corrugated Fill'!$C$12))+0.62198*(0.61094*EXP(17.625*(((C61+0.9*'Cooling Tower &amp; Corrugated Fill'!$C$12))-32)/1.8/((((C61+0.9*'Cooling Tower &amp; Corrugated Fill'!$C$12))-32)/1.8+243.04)))/('Cooling Tower &amp; Corrugated Fill'!$C$14-(0.61094*EXP(17.625*(((C61+0.9*'Cooling Tower &amp; Corrugated Fill'!$C$12))-32)/1.8/((((C61+0.9*'Cooling Tower &amp; Corrugated Fill'!$C$12))-32)/1.8+243.04))))*(1061+0.444*((C61+0.9*'Cooling Tower &amp; Corrugated Fill'!$C$12))))-('Merkel Solver'!$C$4+'Cooling Tower &amp; Corrugated Fill'!$C$13*0.9*'Cooling Tower &amp; Corrugated Fill'!$C$12)</f>
        <v/>
      </c>
      <c r="H61" s="22">
        <f>IF(MIN(D61:G61)&lt;=0,99999,'Cooling Tower &amp; Corrugated Fill'!$C$12/4*(1/D61+1/E61+1/F61+1/G61))</f>
        <v/>
      </c>
    </row>
    <row r="62">
      <c r="B62" s="30" t="n">
        <v>5.6</v>
      </c>
      <c r="C62" s="12">
        <f>'Dashboard'!$C$9+B62</f>
        <v/>
      </c>
      <c r="D62" s="14">
        <f>(0.24*((C62+0.1*'Cooling Tower &amp; Corrugated Fill'!$C$12))+0.62198*(0.61094*EXP(17.625*(((C62+0.1*'Cooling Tower &amp; Corrugated Fill'!$C$12))-32)/1.8/((((C62+0.1*'Cooling Tower &amp; Corrugated Fill'!$C$12))-32)/1.8+243.04)))/('Cooling Tower &amp; Corrugated Fill'!$C$14-(0.61094*EXP(17.625*(((C62+0.1*'Cooling Tower &amp; Corrugated Fill'!$C$12))-32)/1.8/((((C62+0.1*'Cooling Tower &amp; Corrugated Fill'!$C$12))-32)/1.8+243.04))))*(1061+0.444*((C62+0.1*'Cooling Tower &amp; Corrugated Fill'!$C$12))))-('Merkel Solver'!$C$4+'Cooling Tower &amp; Corrugated Fill'!$C$13*0.1*'Cooling Tower &amp; Corrugated Fill'!$C$12)</f>
        <v/>
      </c>
      <c r="E62" s="14">
        <f>(0.24*((C62+0.4*'Cooling Tower &amp; Corrugated Fill'!$C$12))+0.62198*(0.61094*EXP(17.625*(((C62+0.4*'Cooling Tower &amp; Corrugated Fill'!$C$12))-32)/1.8/((((C62+0.4*'Cooling Tower &amp; Corrugated Fill'!$C$12))-32)/1.8+243.04)))/('Cooling Tower &amp; Corrugated Fill'!$C$14-(0.61094*EXP(17.625*(((C62+0.4*'Cooling Tower &amp; Corrugated Fill'!$C$12))-32)/1.8/((((C62+0.4*'Cooling Tower &amp; Corrugated Fill'!$C$12))-32)/1.8+243.04))))*(1061+0.444*((C62+0.4*'Cooling Tower &amp; Corrugated Fill'!$C$12))))-('Merkel Solver'!$C$4+'Cooling Tower &amp; Corrugated Fill'!$C$13*0.4*'Cooling Tower &amp; Corrugated Fill'!$C$12)</f>
        <v/>
      </c>
      <c r="F62" s="14">
        <f>(0.24*((C62+0.6*'Cooling Tower &amp; Corrugated Fill'!$C$12))+0.62198*(0.61094*EXP(17.625*(((C62+0.6*'Cooling Tower &amp; Corrugated Fill'!$C$12))-32)/1.8/((((C62+0.6*'Cooling Tower &amp; Corrugated Fill'!$C$12))-32)/1.8+243.04)))/('Cooling Tower &amp; Corrugated Fill'!$C$14-(0.61094*EXP(17.625*(((C62+0.6*'Cooling Tower &amp; Corrugated Fill'!$C$12))-32)/1.8/((((C62+0.6*'Cooling Tower &amp; Corrugated Fill'!$C$12))-32)/1.8+243.04))))*(1061+0.444*((C62+0.6*'Cooling Tower &amp; Corrugated Fill'!$C$12))))-('Merkel Solver'!$C$4+'Cooling Tower &amp; Corrugated Fill'!$C$13*0.6*'Cooling Tower &amp; Corrugated Fill'!$C$12)</f>
        <v/>
      </c>
      <c r="G62" s="14">
        <f>(0.24*((C62+0.9*'Cooling Tower &amp; Corrugated Fill'!$C$12))+0.62198*(0.61094*EXP(17.625*(((C62+0.9*'Cooling Tower &amp; Corrugated Fill'!$C$12))-32)/1.8/((((C62+0.9*'Cooling Tower &amp; Corrugated Fill'!$C$12))-32)/1.8+243.04)))/('Cooling Tower &amp; Corrugated Fill'!$C$14-(0.61094*EXP(17.625*(((C62+0.9*'Cooling Tower &amp; Corrugated Fill'!$C$12))-32)/1.8/((((C62+0.9*'Cooling Tower &amp; Corrugated Fill'!$C$12))-32)/1.8+243.04))))*(1061+0.444*((C62+0.9*'Cooling Tower &amp; Corrugated Fill'!$C$12))))-('Merkel Solver'!$C$4+'Cooling Tower &amp; Corrugated Fill'!$C$13*0.9*'Cooling Tower &amp; Corrugated Fill'!$C$12)</f>
        <v/>
      </c>
      <c r="H62" s="22">
        <f>IF(MIN(D62:G62)&lt;=0,99999,'Cooling Tower &amp; Corrugated Fill'!$C$12/4*(1/D62+1/E62+1/F62+1/G62))</f>
        <v/>
      </c>
    </row>
    <row r="63">
      <c r="B63" s="30" t="n">
        <v>5.7</v>
      </c>
      <c r="C63" s="12">
        <f>'Dashboard'!$C$9+B63</f>
        <v/>
      </c>
      <c r="D63" s="14">
        <f>(0.24*((C63+0.1*'Cooling Tower &amp; Corrugated Fill'!$C$12))+0.62198*(0.61094*EXP(17.625*(((C63+0.1*'Cooling Tower &amp; Corrugated Fill'!$C$12))-32)/1.8/((((C63+0.1*'Cooling Tower &amp; Corrugated Fill'!$C$12))-32)/1.8+243.04)))/('Cooling Tower &amp; Corrugated Fill'!$C$14-(0.61094*EXP(17.625*(((C63+0.1*'Cooling Tower &amp; Corrugated Fill'!$C$12))-32)/1.8/((((C63+0.1*'Cooling Tower &amp; Corrugated Fill'!$C$12))-32)/1.8+243.04))))*(1061+0.444*((C63+0.1*'Cooling Tower &amp; Corrugated Fill'!$C$12))))-('Merkel Solver'!$C$4+'Cooling Tower &amp; Corrugated Fill'!$C$13*0.1*'Cooling Tower &amp; Corrugated Fill'!$C$12)</f>
        <v/>
      </c>
      <c r="E63" s="14">
        <f>(0.24*((C63+0.4*'Cooling Tower &amp; Corrugated Fill'!$C$12))+0.62198*(0.61094*EXP(17.625*(((C63+0.4*'Cooling Tower &amp; Corrugated Fill'!$C$12))-32)/1.8/((((C63+0.4*'Cooling Tower &amp; Corrugated Fill'!$C$12))-32)/1.8+243.04)))/('Cooling Tower &amp; Corrugated Fill'!$C$14-(0.61094*EXP(17.625*(((C63+0.4*'Cooling Tower &amp; Corrugated Fill'!$C$12))-32)/1.8/((((C63+0.4*'Cooling Tower &amp; Corrugated Fill'!$C$12))-32)/1.8+243.04))))*(1061+0.444*((C63+0.4*'Cooling Tower &amp; Corrugated Fill'!$C$12))))-('Merkel Solver'!$C$4+'Cooling Tower &amp; Corrugated Fill'!$C$13*0.4*'Cooling Tower &amp; Corrugated Fill'!$C$12)</f>
        <v/>
      </c>
      <c r="F63" s="14">
        <f>(0.24*((C63+0.6*'Cooling Tower &amp; Corrugated Fill'!$C$12))+0.62198*(0.61094*EXP(17.625*(((C63+0.6*'Cooling Tower &amp; Corrugated Fill'!$C$12))-32)/1.8/((((C63+0.6*'Cooling Tower &amp; Corrugated Fill'!$C$12))-32)/1.8+243.04)))/('Cooling Tower &amp; Corrugated Fill'!$C$14-(0.61094*EXP(17.625*(((C63+0.6*'Cooling Tower &amp; Corrugated Fill'!$C$12))-32)/1.8/((((C63+0.6*'Cooling Tower &amp; Corrugated Fill'!$C$12))-32)/1.8+243.04))))*(1061+0.444*((C63+0.6*'Cooling Tower &amp; Corrugated Fill'!$C$12))))-('Merkel Solver'!$C$4+'Cooling Tower &amp; Corrugated Fill'!$C$13*0.6*'Cooling Tower &amp; Corrugated Fill'!$C$12)</f>
        <v/>
      </c>
      <c r="G63" s="14">
        <f>(0.24*((C63+0.9*'Cooling Tower &amp; Corrugated Fill'!$C$12))+0.62198*(0.61094*EXP(17.625*(((C63+0.9*'Cooling Tower &amp; Corrugated Fill'!$C$12))-32)/1.8/((((C63+0.9*'Cooling Tower &amp; Corrugated Fill'!$C$12))-32)/1.8+243.04)))/('Cooling Tower &amp; Corrugated Fill'!$C$14-(0.61094*EXP(17.625*(((C63+0.9*'Cooling Tower &amp; Corrugated Fill'!$C$12))-32)/1.8/((((C63+0.9*'Cooling Tower &amp; Corrugated Fill'!$C$12))-32)/1.8+243.04))))*(1061+0.444*((C63+0.9*'Cooling Tower &amp; Corrugated Fill'!$C$12))))-('Merkel Solver'!$C$4+'Cooling Tower &amp; Corrugated Fill'!$C$13*0.9*'Cooling Tower &amp; Corrugated Fill'!$C$12)</f>
        <v/>
      </c>
      <c r="H63" s="22">
        <f>IF(MIN(D63:G63)&lt;=0,99999,'Cooling Tower &amp; Corrugated Fill'!$C$12/4*(1/D63+1/E63+1/F63+1/G63))</f>
        <v/>
      </c>
    </row>
    <row r="64">
      <c r="B64" s="30" t="n">
        <v>5.8</v>
      </c>
      <c r="C64" s="12">
        <f>'Dashboard'!$C$9+B64</f>
        <v/>
      </c>
      <c r="D64" s="14">
        <f>(0.24*((C64+0.1*'Cooling Tower &amp; Corrugated Fill'!$C$12))+0.62198*(0.61094*EXP(17.625*(((C64+0.1*'Cooling Tower &amp; Corrugated Fill'!$C$12))-32)/1.8/((((C64+0.1*'Cooling Tower &amp; Corrugated Fill'!$C$12))-32)/1.8+243.04)))/('Cooling Tower &amp; Corrugated Fill'!$C$14-(0.61094*EXP(17.625*(((C64+0.1*'Cooling Tower &amp; Corrugated Fill'!$C$12))-32)/1.8/((((C64+0.1*'Cooling Tower &amp; Corrugated Fill'!$C$12))-32)/1.8+243.04))))*(1061+0.444*((C64+0.1*'Cooling Tower &amp; Corrugated Fill'!$C$12))))-('Merkel Solver'!$C$4+'Cooling Tower &amp; Corrugated Fill'!$C$13*0.1*'Cooling Tower &amp; Corrugated Fill'!$C$12)</f>
        <v/>
      </c>
      <c r="E64" s="14">
        <f>(0.24*((C64+0.4*'Cooling Tower &amp; Corrugated Fill'!$C$12))+0.62198*(0.61094*EXP(17.625*(((C64+0.4*'Cooling Tower &amp; Corrugated Fill'!$C$12))-32)/1.8/((((C64+0.4*'Cooling Tower &amp; Corrugated Fill'!$C$12))-32)/1.8+243.04)))/('Cooling Tower &amp; Corrugated Fill'!$C$14-(0.61094*EXP(17.625*(((C64+0.4*'Cooling Tower &amp; Corrugated Fill'!$C$12))-32)/1.8/((((C64+0.4*'Cooling Tower &amp; Corrugated Fill'!$C$12))-32)/1.8+243.04))))*(1061+0.444*((C64+0.4*'Cooling Tower &amp; Corrugated Fill'!$C$12))))-('Merkel Solver'!$C$4+'Cooling Tower &amp; Corrugated Fill'!$C$13*0.4*'Cooling Tower &amp; Corrugated Fill'!$C$12)</f>
        <v/>
      </c>
      <c r="F64" s="14">
        <f>(0.24*((C64+0.6*'Cooling Tower &amp; Corrugated Fill'!$C$12))+0.62198*(0.61094*EXP(17.625*(((C64+0.6*'Cooling Tower &amp; Corrugated Fill'!$C$12))-32)/1.8/((((C64+0.6*'Cooling Tower &amp; Corrugated Fill'!$C$12))-32)/1.8+243.04)))/('Cooling Tower &amp; Corrugated Fill'!$C$14-(0.61094*EXP(17.625*(((C64+0.6*'Cooling Tower &amp; Corrugated Fill'!$C$12))-32)/1.8/((((C64+0.6*'Cooling Tower &amp; Corrugated Fill'!$C$12))-32)/1.8+243.04))))*(1061+0.444*((C64+0.6*'Cooling Tower &amp; Corrugated Fill'!$C$12))))-('Merkel Solver'!$C$4+'Cooling Tower &amp; Corrugated Fill'!$C$13*0.6*'Cooling Tower &amp; Corrugated Fill'!$C$12)</f>
        <v/>
      </c>
      <c r="G64" s="14">
        <f>(0.24*((C64+0.9*'Cooling Tower &amp; Corrugated Fill'!$C$12))+0.62198*(0.61094*EXP(17.625*(((C64+0.9*'Cooling Tower &amp; Corrugated Fill'!$C$12))-32)/1.8/((((C64+0.9*'Cooling Tower &amp; Corrugated Fill'!$C$12))-32)/1.8+243.04)))/('Cooling Tower &amp; Corrugated Fill'!$C$14-(0.61094*EXP(17.625*(((C64+0.9*'Cooling Tower &amp; Corrugated Fill'!$C$12))-32)/1.8/((((C64+0.9*'Cooling Tower &amp; Corrugated Fill'!$C$12))-32)/1.8+243.04))))*(1061+0.444*((C64+0.9*'Cooling Tower &amp; Corrugated Fill'!$C$12))))-('Merkel Solver'!$C$4+'Cooling Tower &amp; Corrugated Fill'!$C$13*0.9*'Cooling Tower &amp; Corrugated Fill'!$C$12)</f>
        <v/>
      </c>
      <c r="H64" s="22">
        <f>IF(MIN(D64:G64)&lt;=0,99999,'Cooling Tower &amp; Corrugated Fill'!$C$12/4*(1/D64+1/E64+1/F64+1/G64))</f>
        <v/>
      </c>
    </row>
    <row r="65">
      <c r="B65" s="30" t="n">
        <v>5.9</v>
      </c>
      <c r="C65" s="12">
        <f>'Dashboard'!$C$9+B65</f>
        <v/>
      </c>
      <c r="D65" s="14">
        <f>(0.24*((C65+0.1*'Cooling Tower &amp; Corrugated Fill'!$C$12))+0.62198*(0.61094*EXP(17.625*(((C65+0.1*'Cooling Tower &amp; Corrugated Fill'!$C$12))-32)/1.8/((((C65+0.1*'Cooling Tower &amp; Corrugated Fill'!$C$12))-32)/1.8+243.04)))/('Cooling Tower &amp; Corrugated Fill'!$C$14-(0.61094*EXP(17.625*(((C65+0.1*'Cooling Tower &amp; Corrugated Fill'!$C$12))-32)/1.8/((((C65+0.1*'Cooling Tower &amp; Corrugated Fill'!$C$12))-32)/1.8+243.04))))*(1061+0.444*((C65+0.1*'Cooling Tower &amp; Corrugated Fill'!$C$12))))-('Merkel Solver'!$C$4+'Cooling Tower &amp; Corrugated Fill'!$C$13*0.1*'Cooling Tower &amp; Corrugated Fill'!$C$12)</f>
        <v/>
      </c>
      <c r="E65" s="14">
        <f>(0.24*((C65+0.4*'Cooling Tower &amp; Corrugated Fill'!$C$12))+0.62198*(0.61094*EXP(17.625*(((C65+0.4*'Cooling Tower &amp; Corrugated Fill'!$C$12))-32)/1.8/((((C65+0.4*'Cooling Tower &amp; Corrugated Fill'!$C$12))-32)/1.8+243.04)))/('Cooling Tower &amp; Corrugated Fill'!$C$14-(0.61094*EXP(17.625*(((C65+0.4*'Cooling Tower &amp; Corrugated Fill'!$C$12))-32)/1.8/((((C65+0.4*'Cooling Tower &amp; Corrugated Fill'!$C$12))-32)/1.8+243.04))))*(1061+0.444*((C65+0.4*'Cooling Tower &amp; Corrugated Fill'!$C$12))))-('Merkel Solver'!$C$4+'Cooling Tower &amp; Corrugated Fill'!$C$13*0.4*'Cooling Tower &amp; Corrugated Fill'!$C$12)</f>
        <v/>
      </c>
      <c r="F65" s="14">
        <f>(0.24*((C65+0.6*'Cooling Tower &amp; Corrugated Fill'!$C$12))+0.62198*(0.61094*EXP(17.625*(((C65+0.6*'Cooling Tower &amp; Corrugated Fill'!$C$12))-32)/1.8/((((C65+0.6*'Cooling Tower &amp; Corrugated Fill'!$C$12))-32)/1.8+243.04)))/('Cooling Tower &amp; Corrugated Fill'!$C$14-(0.61094*EXP(17.625*(((C65+0.6*'Cooling Tower &amp; Corrugated Fill'!$C$12))-32)/1.8/((((C65+0.6*'Cooling Tower &amp; Corrugated Fill'!$C$12))-32)/1.8+243.04))))*(1061+0.444*((C65+0.6*'Cooling Tower &amp; Corrugated Fill'!$C$12))))-('Merkel Solver'!$C$4+'Cooling Tower &amp; Corrugated Fill'!$C$13*0.6*'Cooling Tower &amp; Corrugated Fill'!$C$12)</f>
        <v/>
      </c>
      <c r="G65" s="14">
        <f>(0.24*((C65+0.9*'Cooling Tower &amp; Corrugated Fill'!$C$12))+0.62198*(0.61094*EXP(17.625*(((C65+0.9*'Cooling Tower &amp; Corrugated Fill'!$C$12))-32)/1.8/((((C65+0.9*'Cooling Tower &amp; Corrugated Fill'!$C$12))-32)/1.8+243.04)))/('Cooling Tower &amp; Corrugated Fill'!$C$14-(0.61094*EXP(17.625*(((C65+0.9*'Cooling Tower &amp; Corrugated Fill'!$C$12))-32)/1.8/((((C65+0.9*'Cooling Tower &amp; Corrugated Fill'!$C$12))-32)/1.8+243.04))))*(1061+0.444*((C65+0.9*'Cooling Tower &amp; Corrugated Fill'!$C$12))))-('Merkel Solver'!$C$4+'Cooling Tower &amp; Corrugated Fill'!$C$13*0.9*'Cooling Tower &amp; Corrugated Fill'!$C$12)</f>
        <v/>
      </c>
      <c r="H65" s="22">
        <f>IF(MIN(D65:G65)&lt;=0,99999,'Cooling Tower &amp; Corrugated Fill'!$C$12/4*(1/D65+1/E65+1/F65+1/G65))</f>
        <v/>
      </c>
    </row>
    <row r="66">
      <c r="B66" s="30" t="n">
        <v>6</v>
      </c>
      <c r="C66" s="12">
        <f>'Dashboard'!$C$9+B66</f>
        <v/>
      </c>
      <c r="D66" s="14">
        <f>(0.24*((C66+0.1*'Cooling Tower &amp; Corrugated Fill'!$C$12))+0.62198*(0.61094*EXP(17.625*(((C66+0.1*'Cooling Tower &amp; Corrugated Fill'!$C$12))-32)/1.8/((((C66+0.1*'Cooling Tower &amp; Corrugated Fill'!$C$12))-32)/1.8+243.04)))/('Cooling Tower &amp; Corrugated Fill'!$C$14-(0.61094*EXP(17.625*(((C66+0.1*'Cooling Tower &amp; Corrugated Fill'!$C$12))-32)/1.8/((((C66+0.1*'Cooling Tower &amp; Corrugated Fill'!$C$12))-32)/1.8+243.04))))*(1061+0.444*((C66+0.1*'Cooling Tower &amp; Corrugated Fill'!$C$12))))-('Merkel Solver'!$C$4+'Cooling Tower &amp; Corrugated Fill'!$C$13*0.1*'Cooling Tower &amp; Corrugated Fill'!$C$12)</f>
        <v/>
      </c>
      <c r="E66" s="14">
        <f>(0.24*((C66+0.4*'Cooling Tower &amp; Corrugated Fill'!$C$12))+0.62198*(0.61094*EXP(17.625*(((C66+0.4*'Cooling Tower &amp; Corrugated Fill'!$C$12))-32)/1.8/((((C66+0.4*'Cooling Tower &amp; Corrugated Fill'!$C$12))-32)/1.8+243.04)))/('Cooling Tower &amp; Corrugated Fill'!$C$14-(0.61094*EXP(17.625*(((C66+0.4*'Cooling Tower &amp; Corrugated Fill'!$C$12))-32)/1.8/((((C66+0.4*'Cooling Tower &amp; Corrugated Fill'!$C$12))-32)/1.8+243.04))))*(1061+0.444*((C66+0.4*'Cooling Tower &amp; Corrugated Fill'!$C$12))))-('Merkel Solver'!$C$4+'Cooling Tower &amp; Corrugated Fill'!$C$13*0.4*'Cooling Tower &amp; Corrugated Fill'!$C$12)</f>
        <v/>
      </c>
      <c r="F66" s="14">
        <f>(0.24*((C66+0.6*'Cooling Tower &amp; Corrugated Fill'!$C$12))+0.62198*(0.61094*EXP(17.625*(((C66+0.6*'Cooling Tower &amp; Corrugated Fill'!$C$12))-32)/1.8/((((C66+0.6*'Cooling Tower &amp; Corrugated Fill'!$C$12))-32)/1.8+243.04)))/('Cooling Tower &amp; Corrugated Fill'!$C$14-(0.61094*EXP(17.625*(((C66+0.6*'Cooling Tower &amp; Corrugated Fill'!$C$12))-32)/1.8/((((C66+0.6*'Cooling Tower &amp; Corrugated Fill'!$C$12))-32)/1.8+243.04))))*(1061+0.444*((C66+0.6*'Cooling Tower &amp; Corrugated Fill'!$C$12))))-('Merkel Solver'!$C$4+'Cooling Tower &amp; Corrugated Fill'!$C$13*0.6*'Cooling Tower &amp; Corrugated Fill'!$C$12)</f>
        <v/>
      </c>
      <c r="G66" s="14">
        <f>(0.24*((C66+0.9*'Cooling Tower &amp; Corrugated Fill'!$C$12))+0.62198*(0.61094*EXP(17.625*(((C66+0.9*'Cooling Tower &amp; Corrugated Fill'!$C$12))-32)/1.8/((((C66+0.9*'Cooling Tower &amp; Corrugated Fill'!$C$12))-32)/1.8+243.04)))/('Cooling Tower &amp; Corrugated Fill'!$C$14-(0.61094*EXP(17.625*(((C66+0.9*'Cooling Tower &amp; Corrugated Fill'!$C$12))-32)/1.8/((((C66+0.9*'Cooling Tower &amp; Corrugated Fill'!$C$12))-32)/1.8+243.04))))*(1061+0.444*((C66+0.9*'Cooling Tower &amp; Corrugated Fill'!$C$12))))-('Merkel Solver'!$C$4+'Cooling Tower &amp; Corrugated Fill'!$C$13*0.9*'Cooling Tower &amp; Corrugated Fill'!$C$12)</f>
        <v/>
      </c>
      <c r="H66" s="22">
        <f>IF(MIN(D66:G66)&lt;=0,99999,'Cooling Tower &amp; Corrugated Fill'!$C$12/4*(1/D66+1/E66+1/F66+1/G66))</f>
        <v/>
      </c>
    </row>
    <row r="67">
      <c r="B67" s="30" t="n">
        <v>6.1</v>
      </c>
      <c r="C67" s="12">
        <f>'Dashboard'!$C$9+B67</f>
        <v/>
      </c>
      <c r="D67" s="14">
        <f>(0.24*((C67+0.1*'Cooling Tower &amp; Corrugated Fill'!$C$12))+0.62198*(0.61094*EXP(17.625*(((C67+0.1*'Cooling Tower &amp; Corrugated Fill'!$C$12))-32)/1.8/((((C67+0.1*'Cooling Tower &amp; Corrugated Fill'!$C$12))-32)/1.8+243.04)))/('Cooling Tower &amp; Corrugated Fill'!$C$14-(0.61094*EXP(17.625*(((C67+0.1*'Cooling Tower &amp; Corrugated Fill'!$C$12))-32)/1.8/((((C67+0.1*'Cooling Tower &amp; Corrugated Fill'!$C$12))-32)/1.8+243.04))))*(1061+0.444*((C67+0.1*'Cooling Tower &amp; Corrugated Fill'!$C$12))))-('Merkel Solver'!$C$4+'Cooling Tower &amp; Corrugated Fill'!$C$13*0.1*'Cooling Tower &amp; Corrugated Fill'!$C$12)</f>
        <v/>
      </c>
      <c r="E67" s="14">
        <f>(0.24*((C67+0.4*'Cooling Tower &amp; Corrugated Fill'!$C$12))+0.62198*(0.61094*EXP(17.625*(((C67+0.4*'Cooling Tower &amp; Corrugated Fill'!$C$12))-32)/1.8/((((C67+0.4*'Cooling Tower &amp; Corrugated Fill'!$C$12))-32)/1.8+243.04)))/('Cooling Tower &amp; Corrugated Fill'!$C$14-(0.61094*EXP(17.625*(((C67+0.4*'Cooling Tower &amp; Corrugated Fill'!$C$12))-32)/1.8/((((C67+0.4*'Cooling Tower &amp; Corrugated Fill'!$C$12))-32)/1.8+243.04))))*(1061+0.444*((C67+0.4*'Cooling Tower &amp; Corrugated Fill'!$C$12))))-('Merkel Solver'!$C$4+'Cooling Tower &amp; Corrugated Fill'!$C$13*0.4*'Cooling Tower &amp; Corrugated Fill'!$C$12)</f>
        <v/>
      </c>
      <c r="F67" s="14">
        <f>(0.24*((C67+0.6*'Cooling Tower &amp; Corrugated Fill'!$C$12))+0.62198*(0.61094*EXP(17.625*(((C67+0.6*'Cooling Tower &amp; Corrugated Fill'!$C$12))-32)/1.8/((((C67+0.6*'Cooling Tower &amp; Corrugated Fill'!$C$12))-32)/1.8+243.04)))/('Cooling Tower &amp; Corrugated Fill'!$C$14-(0.61094*EXP(17.625*(((C67+0.6*'Cooling Tower &amp; Corrugated Fill'!$C$12))-32)/1.8/((((C67+0.6*'Cooling Tower &amp; Corrugated Fill'!$C$12))-32)/1.8+243.04))))*(1061+0.444*((C67+0.6*'Cooling Tower &amp; Corrugated Fill'!$C$12))))-('Merkel Solver'!$C$4+'Cooling Tower &amp; Corrugated Fill'!$C$13*0.6*'Cooling Tower &amp; Corrugated Fill'!$C$12)</f>
        <v/>
      </c>
      <c r="G67" s="14">
        <f>(0.24*((C67+0.9*'Cooling Tower &amp; Corrugated Fill'!$C$12))+0.62198*(0.61094*EXP(17.625*(((C67+0.9*'Cooling Tower &amp; Corrugated Fill'!$C$12))-32)/1.8/((((C67+0.9*'Cooling Tower &amp; Corrugated Fill'!$C$12))-32)/1.8+243.04)))/('Cooling Tower &amp; Corrugated Fill'!$C$14-(0.61094*EXP(17.625*(((C67+0.9*'Cooling Tower &amp; Corrugated Fill'!$C$12))-32)/1.8/((((C67+0.9*'Cooling Tower &amp; Corrugated Fill'!$C$12))-32)/1.8+243.04))))*(1061+0.444*((C67+0.9*'Cooling Tower &amp; Corrugated Fill'!$C$12))))-('Merkel Solver'!$C$4+'Cooling Tower &amp; Corrugated Fill'!$C$13*0.9*'Cooling Tower &amp; Corrugated Fill'!$C$12)</f>
        <v/>
      </c>
      <c r="H67" s="22">
        <f>IF(MIN(D67:G67)&lt;=0,99999,'Cooling Tower &amp; Corrugated Fill'!$C$12/4*(1/D67+1/E67+1/F67+1/G67))</f>
        <v/>
      </c>
    </row>
    <row r="68">
      <c r="B68" s="30" t="n">
        <v>6.2</v>
      </c>
      <c r="C68" s="12">
        <f>'Dashboard'!$C$9+B68</f>
        <v/>
      </c>
      <c r="D68" s="14">
        <f>(0.24*((C68+0.1*'Cooling Tower &amp; Corrugated Fill'!$C$12))+0.62198*(0.61094*EXP(17.625*(((C68+0.1*'Cooling Tower &amp; Corrugated Fill'!$C$12))-32)/1.8/((((C68+0.1*'Cooling Tower &amp; Corrugated Fill'!$C$12))-32)/1.8+243.04)))/('Cooling Tower &amp; Corrugated Fill'!$C$14-(0.61094*EXP(17.625*(((C68+0.1*'Cooling Tower &amp; Corrugated Fill'!$C$12))-32)/1.8/((((C68+0.1*'Cooling Tower &amp; Corrugated Fill'!$C$12))-32)/1.8+243.04))))*(1061+0.444*((C68+0.1*'Cooling Tower &amp; Corrugated Fill'!$C$12))))-('Merkel Solver'!$C$4+'Cooling Tower &amp; Corrugated Fill'!$C$13*0.1*'Cooling Tower &amp; Corrugated Fill'!$C$12)</f>
        <v/>
      </c>
      <c r="E68" s="14">
        <f>(0.24*((C68+0.4*'Cooling Tower &amp; Corrugated Fill'!$C$12))+0.62198*(0.61094*EXP(17.625*(((C68+0.4*'Cooling Tower &amp; Corrugated Fill'!$C$12))-32)/1.8/((((C68+0.4*'Cooling Tower &amp; Corrugated Fill'!$C$12))-32)/1.8+243.04)))/('Cooling Tower &amp; Corrugated Fill'!$C$14-(0.61094*EXP(17.625*(((C68+0.4*'Cooling Tower &amp; Corrugated Fill'!$C$12))-32)/1.8/((((C68+0.4*'Cooling Tower &amp; Corrugated Fill'!$C$12))-32)/1.8+243.04))))*(1061+0.444*((C68+0.4*'Cooling Tower &amp; Corrugated Fill'!$C$12))))-('Merkel Solver'!$C$4+'Cooling Tower &amp; Corrugated Fill'!$C$13*0.4*'Cooling Tower &amp; Corrugated Fill'!$C$12)</f>
        <v/>
      </c>
      <c r="F68" s="14">
        <f>(0.24*((C68+0.6*'Cooling Tower &amp; Corrugated Fill'!$C$12))+0.62198*(0.61094*EXP(17.625*(((C68+0.6*'Cooling Tower &amp; Corrugated Fill'!$C$12))-32)/1.8/((((C68+0.6*'Cooling Tower &amp; Corrugated Fill'!$C$12))-32)/1.8+243.04)))/('Cooling Tower &amp; Corrugated Fill'!$C$14-(0.61094*EXP(17.625*(((C68+0.6*'Cooling Tower &amp; Corrugated Fill'!$C$12))-32)/1.8/((((C68+0.6*'Cooling Tower &amp; Corrugated Fill'!$C$12))-32)/1.8+243.04))))*(1061+0.444*((C68+0.6*'Cooling Tower &amp; Corrugated Fill'!$C$12))))-('Merkel Solver'!$C$4+'Cooling Tower &amp; Corrugated Fill'!$C$13*0.6*'Cooling Tower &amp; Corrugated Fill'!$C$12)</f>
        <v/>
      </c>
      <c r="G68" s="14">
        <f>(0.24*((C68+0.9*'Cooling Tower &amp; Corrugated Fill'!$C$12))+0.62198*(0.61094*EXP(17.625*(((C68+0.9*'Cooling Tower &amp; Corrugated Fill'!$C$12))-32)/1.8/((((C68+0.9*'Cooling Tower &amp; Corrugated Fill'!$C$12))-32)/1.8+243.04)))/('Cooling Tower &amp; Corrugated Fill'!$C$14-(0.61094*EXP(17.625*(((C68+0.9*'Cooling Tower &amp; Corrugated Fill'!$C$12))-32)/1.8/((((C68+0.9*'Cooling Tower &amp; Corrugated Fill'!$C$12))-32)/1.8+243.04))))*(1061+0.444*((C68+0.9*'Cooling Tower &amp; Corrugated Fill'!$C$12))))-('Merkel Solver'!$C$4+'Cooling Tower &amp; Corrugated Fill'!$C$13*0.9*'Cooling Tower &amp; Corrugated Fill'!$C$12)</f>
        <v/>
      </c>
      <c r="H68" s="22">
        <f>IF(MIN(D68:G68)&lt;=0,99999,'Cooling Tower &amp; Corrugated Fill'!$C$12/4*(1/D68+1/E68+1/F68+1/G68))</f>
        <v/>
      </c>
    </row>
    <row r="69">
      <c r="B69" s="30" t="n">
        <v>6.3</v>
      </c>
      <c r="C69" s="12">
        <f>'Dashboard'!$C$9+B69</f>
        <v/>
      </c>
      <c r="D69" s="14">
        <f>(0.24*((C69+0.1*'Cooling Tower &amp; Corrugated Fill'!$C$12))+0.62198*(0.61094*EXP(17.625*(((C69+0.1*'Cooling Tower &amp; Corrugated Fill'!$C$12))-32)/1.8/((((C69+0.1*'Cooling Tower &amp; Corrugated Fill'!$C$12))-32)/1.8+243.04)))/('Cooling Tower &amp; Corrugated Fill'!$C$14-(0.61094*EXP(17.625*(((C69+0.1*'Cooling Tower &amp; Corrugated Fill'!$C$12))-32)/1.8/((((C69+0.1*'Cooling Tower &amp; Corrugated Fill'!$C$12))-32)/1.8+243.04))))*(1061+0.444*((C69+0.1*'Cooling Tower &amp; Corrugated Fill'!$C$12))))-('Merkel Solver'!$C$4+'Cooling Tower &amp; Corrugated Fill'!$C$13*0.1*'Cooling Tower &amp; Corrugated Fill'!$C$12)</f>
        <v/>
      </c>
      <c r="E69" s="14">
        <f>(0.24*((C69+0.4*'Cooling Tower &amp; Corrugated Fill'!$C$12))+0.62198*(0.61094*EXP(17.625*(((C69+0.4*'Cooling Tower &amp; Corrugated Fill'!$C$12))-32)/1.8/((((C69+0.4*'Cooling Tower &amp; Corrugated Fill'!$C$12))-32)/1.8+243.04)))/('Cooling Tower &amp; Corrugated Fill'!$C$14-(0.61094*EXP(17.625*(((C69+0.4*'Cooling Tower &amp; Corrugated Fill'!$C$12))-32)/1.8/((((C69+0.4*'Cooling Tower &amp; Corrugated Fill'!$C$12))-32)/1.8+243.04))))*(1061+0.444*((C69+0.4*'Cooling Tower &amp; Corrugated Fill'!$C$12))))-('Merkel Solver'!$C$4+'Cooling Tower &amp; Corrugated Fill'!$C$13*0.4*'Cooling Tower &amp; Corrugated Fill'!$C$12)</f>
        <v/>
      </c>
      <c r="F69" s="14">
        <f>(0.24*((C69+0.6*'Cooling Tower &amp; Corrugated Fill'!$C$12))+0.62198*(0.61094*EXP(17.625*(((C69+0.6*'Cooling Tower &amp; Corrugated Fill'!$C$12))-32)/1.8/((((C69+0.6*'Cooling Tower &amp; Corrugated Fill'!$C$12))-32)/1.8+243.04)))/('Cooling Tower &amp; Corrugated Fill'!$C$14-(0.61094*EXP(17.625*(((C69+0.6*'Cooling Tower &amp; Corrugated Fill'!$C$12))-32)/1.8/((((C69+0.6*'Cooling Tower &amp; Corrugated Fill'!$C$12))-32)/1.8+243.04))))*(1061+0.444*((C69+0.6*'Cooling Tower &amp; Corrugated Fill'!$C$12))))-('Merkel Solver'!$C$4+'Cooling Tower &amp; Corrugated Fill'!$C$13*0.6*'Cooling Tower &amp; Corrugated Fill'!$C$12)</f>
        <v/>
      </c>
      <c r="G69" s="14">
        <f>(0.24*((C69+0.9*'Cooling Tower &amp; Corrugated Fill'!$C$12))+0.62198*(0.61094*EXP(17.625*(((C69+0.9*'Cooling Tower &amp; Corrugated Fill'!$C$12))-32)/1.8/((((C69+0.9*'Cooling Tower &amp; Corrugated Fill'!$C$12))-32)/1.8+243.04)))/('Cooling Tower &amp; Corrugated Fill'!$C$14-(0.61094*EXP(17.625*(((C69+0.9*'Cooling Tower &amp; Corrugated Fill'!$C$12))-32)/1.8/((((C69+0.9*'Cooling Tower &amp; Corrugated Fill'!$C$12))-32)/1.8+243.04))))*(1061+0.444*((C69+0.9*'Cooling Tower &amp; Corrugated Fill'!$C$12))))-('Merkel Solver'!$C$4+'Cooling Tower &amp; Corrugated Fill'!$C$13*0.9*'Cooling Tower &amp; Corrugated Fill'!$C$12)</f>
        <v/>
      </c>
      <c r="H69" s="22">
        <f>IF(MIN(D69:G69)&lt;=0,99999,'Cooling Tower &amp; Corrugated Fill'!$C$12/4*(1/D69+1/E69+1/F69+1/G69))</f>
        <v/>
      </c>
    </row>
    <row r="70">
      <c r="B70" s="30" t="n">
        <v>6.4</v>
      </c>
      <c r="C70" s="12">
        <f>'Dashboard'!$C$9+B70</f>
        <v/>
      </c>
      <c r="D70" s="14">
        <f>(0.24*((C70+0.1*'Cooling Tower &amp; Corrugated Fill'!$C$12))+0.62198*(0.61094*EXP(17.625*(((C70+0.1*'Cooling Tower &amp; Corrugated Fill'!$C$12))-32)/1.8/((((C70+0.1*'Cooling Tower &amp; Corrugated Fill'!$C$12))-32)/1.8+243.04)))/('Cooling Tower &amp; Corrugated Fill'!$C$14-(0.61094*EXP(17.625*(((C70+0.1*'Cooling Tower &amp; Corrugated Fill'!$C$12))-32)/1.8/((((C70+0.1*'Cooling Tower &amp; Corrugated Fill'!$C$12))-32)/1.8+243.04))))*(1061+0.444*((C70+0.1*'Cooling Tower &amp; Corrugated Fill'!$C$12))))-('Merkel Solver'!$C$4+'Cooling Tower &amp; Corrugated Fill'!$C$13*0.1*'Cooling Tower &amp; Corrugated Fill'!$C$12)</f>
        <v/>
      </c>
      <c r="E70" s="14">
        <f>(0.24*((C70+0.4*'Cooling Tower &amp; Corrugated Fill'!$C$12))+0.62198*(0.61094*EXP(17.625*(((C70+0.4*'Cooling Tower &amp; Corrugated Fill'!$C$12))-32)/1.8/((((C70+0.4*'Cooling Tower &amp; Corrugated Fill'!$C$12))-32)/1.8+243.04)))/('Cooling Tower &amp; Corrugated Fill'!$C$14-(0.61094*EXP(17.625*(((C70+0.4*'Cooling Tower &amp; Corrugated Fill'!$C$12))-32)/1.8/((((C70+0.4*'Cooling Tower &amp; Corrugated Fill'!$C$12))-32)/1.8+243.04))))*(1061+0.444*((C70+0.4*'Cooling Tower &amp; Corrugated Fill'!$C$12))))-('Merkel Solver'!$C$4+'Cooling Tower &amp; Corrugated Fill'!$C$13*0.4*'Cooling Tower &amp; Corrugated Fill'!$C$12)</f>
        <v/>
      </c>
      <c r="F70" s="14">
        <f>(0.24*((C70+0.6*'Cooling Tower &amp; Corrugated Fill'!$C$12))+0.62198*(0.61094*EXP(17.625*(((C70+0.6*'Cooling Tower &amp; Corrugated Fill'!$C$12))-32)/1.8/((((C70+0.6*'Cooling Tower &amp; Corrugated Fill'!$C$12))-32)/1.8+243.04)))/('Cooling Tower &amp; Corrugated Fill'!$C$14-(0.61094*EXP(17.625*(((C70+0.6*'Cooling Tower &amp; Corrugated Fill'!$C$12))-32)/1.8/((((C70+0.6*'Cooling Tower &amp; Corrugated Fill'!$C$12))-32)/1.8+243.04))))*(1061+0.444*((C70+0.6*'Cooling Tower &amp; Corrugated Fill'!$C$12))))-('Merkel Solver'!$C$4+'Cooling Tower &amp; Corrugated Fill'!$C$13*0.6*'Cooling Tower &amp; Corrugated Fill'!$C$12)</f>
        <v/>
      </c>
      <c r="G70" s="14">
        <f>(0.24*((C70+0.9*'Cooling Tower &amp; Corrugated Fill'!$C$12))+0.62198*(0.61094*EXP(17.625*(((C70+0.9*'Cooling Tower &amp; Corrugated Fill'!$C$12))-32)/1.8/((((C70+0.9*'Cooling Tower &amp; Corrugated Fill'!$C$12))-32)/1.8+243.04)))/('Cooling Tower &amp; Corrugated Fill'!$C$14-(0.61094*EXP(17.625*(((C70+0.9*'Cooling Tower &amp; Corrugated Fill'!$C$12))-32)/1.8/((((C70+0.9*'Cooling Tower &amp; Corrugated Fill'!$C$12))-32)/1.8+243.04))))*(1061+0.444*((C70+0.9*'Cooling Tower &amp; Corrugated Fill'!$C$12))))-('Merkel Solver'!$C$4+'Cooling Tower &amp; Corrugated Fill'!$C$13*0.9*'Cooling Tower &amp; Corrugated Fill'!$C$12)</f>
        <v/>
      </c>
      <c r="H70" s="22">
        <f>IF(MIN(D70:G70)&lt;=0,99999,'Cooling Tower &amp; Corrugated Fill'!$C$12/4*(1/D70+1/E70+1/F70+1/G70))</f>
        <v/>
      </c>
    </row>
    <row r="71">
      <c r="B71" s="30" t="n">
        <v>6.5</v>
      </c>
      <c r="C71" s="12">
        <f>'Dashboard'!$C$9+B71</f>
        <v/>
      </c>
      <c r="D71" s="14">
        <f>(0.24*((C71+0.1*'Cooling Tower &amp; Corrugated Fill'!$C$12))+0.62198*(0.61094*EXP(17.625*(((C71+0.1*'Cooling Tower &amp; Corrugated Fill'!$C$12))-32)/1.8/((((C71+0.1*'Cooling Tower &amp; Corrugated Fill'!$C$12))-32)/1.8+243.04)))/('Cooling Tower &amp; Corrugated Fill'!$C$14-(0.61094*EXP(17.625*(((C71+0.1*'Cooling Tower &amp; Corrugated Fill'!$C$12))-32)/1.8/((((C71+0.1*'Cooling Tower &amp; Corrugated Fill'!$C$12))-32)/1.8+243.04))))*(1061+0.444*((C71+0.1*'Cooling Tower &amp; Corrugated Fill'!$C$12))))-('Merkel Solver'!$C$4+'Cooling Tower &amp; Corrugated Fill'!$C$13*0.1*'Cooling Tower &amp; Corrugated Fill'!$C$12)</f>
        <v/>
      </c>
      <c r="E71" s="14">
        <f>(0.24*((C71+0.4*'Cooling Tower &amp; Corrugated Fill'!$C$12))+0.62198*(0.61094*EXP(17.625*(((C71+0.4*'Cooling Tower &amp; Corrugated Fill'!$C$12))-32)/1.8/((((C71+0.4*'Cooling Tower &amp; Corrugated Fill'!$C$12))-32)/1.8+243.04)))/('Cooling Tower &amp; Corrugated Fill'!$C$14-(0.61094*EXP(17.625*(((C71+0.4*'Cooling Tower &amp; Corrugated Fill'!$C$12))-32)/1.8/((((C71+0.4*'Cooling Tower &amp; Corrugated Fill'!$C$12))-32)/1.8+243.04))))*(1061+0.444*((C71+0.4*'Cooling Tower &amp; Corrugated Fill'!$C$12))))-('Merkel Solver'!$C$4+'Cooling Tower &amp; Corrugated Fill'!$C$13*0.4*'Cooling Tower &amp; Corrugated Fill'!$C$12)</f>
        <v/>
      </c>
      <c r="F71" s="14">
        <f>(0.24*((C71+0.6*'Cooling Tower &amp; Corrugated Fill'!$C$12))+0.62198*(0.61094*EXP(17.625*(((C71+0.6*'Cooling Tower &amp; Corrugated Fill'!$C$12))-32)/1.8/((((C71+0.6*'Cooling Tower &amp; Corrugated Fill'!$C$12))-32)/1.8+243.04)))/('Cooling Tower &amp; Corrugated Fill'!$C$14-(0.61094*EXP(17.625*(((C71+0.6*'Cooling Tower &amp; Corrugated Fill'!$C$12))-32)/1.8/((((C71+0.6*'Cooling Tower &amp; Corrugated Fill'!$C$12))-32)/1.8+243.04))))*(1061+0.444*((C71+0.6*'Cooling Tower &amp; Corrugated Fill'!$C$12))))-('Merkel Solver'!$C$4+'Cooling Tower &amp; Corrugated Fill'!$C$13*0.6*'Cooling Tower &amp; Corrugated Fill'!$C$12)</f>
        <v/>
      </c>
      <c r="G71" s="14">
        <f>(0.24*((C71+0.9*'Cooling Tower &amp; Corrugated Fill'!$C$12))+0.62198*(0.61094*EXP(17.625*(((C71+0.9*'Cooling Tower &amp; Corrugated Fill'!$C$12))-32)/1.8/((((C71+0.9*'Cooling Tower &amp; Corrugated Fill'!$C$12))-32)/1.8+243.04)))/('Cooling Tower &amp; Corrugated Fill'!$C$14-(0.61094*EXP(17.625*(((C71+0.9*'Cooling Tower &amp; Corrugated Fill'!$C$12))-32)/1.8/((((C71+0.9*'Cooling Tower &amp; Corrugated Fill'!$C$12))-32)/1.8+243.04))))*(1061+0.444*((C71+0.9*'Cooling Tower &amp; Corrugated Fill'!$C$12))))-('Merkel Solver'!$C$4+'Cooling Tower &amp; Corrugated Fill'!$C$13*0.9*'Cooling Tower &amp; Corrugated Fill'!$C$12)</f>
        <v/>
      </c>
      <c r="H71" s="22">
        <f>IF(MIN(D71:G71)&lt;=0,99999,'Cooling Tower &amp; Corrugated Fill'!$C$12/4*(1/D71+1/E71+1/F71+1/G71))</f>
        <v/>
      </c>
    </row>
    <row r="72">
      <c r="B72" s="30" t="n">
        <v>6.6</v>
      </c>
      <c r="C72" s="12">
        <f>'Dashboard'!$C$9+B72</f>
        <v/>
      </c>
      <c r="D72" s="14">
        <f>(0.24*((C72+0.1*'Cooling Tower &amp; Corrugated Fill'!$C$12))+0.62198*(0.61094*EXP(17.625*(((C72+0.1*'Cooling Tower &amp; Corrugated Fill'!$C$12))-32)/1.8/((((C72+0.1*'Cooling Tower &amp; Corrugated Fill'!$C$12))-32)/1.8+243.04)))/('Cooling Tower &amp; Corrugated Fill'!$C$14-(0.61094*EXP(17.625*(((C72+0.1*'Cooling Tower &amp; Corrugated Fill'!$C$12))-32)/1.8/((((C72+0.1*'Cooling Tower &amp; Corrugated Fill'!$C$12))-32)/1.8+243.04))))*(1061+0.444*((C72+0.1*'Cooling Tower &amp; Corrugated Fill'!$C$12))))-('Merkel Solver'!$C$4+'Cooling Tower &amp; Corrugated Fill'!$C$13*0.1*'Cooling Tower &amp; Corrugated Fill'!$C$12)</f>
        <v/>
      </c>
      <c r="E72" s="14">
        <f>(0.24*((C72+0.4*'Cooling Tower &amp; Corrugated Fill'!$C$12))+0.62198*(0.61094*EXP(17.625*(((C72+0.4*'Cooling Tower &amp; Corrugated Fill'!$C$12))-32)/1.8/((((C72+0.4*'Cooling Tower &amp; Corrugated Fill'!$C$12))-32)/1.8+243.04)))/('Cooling Tower &amp; Corrugated Fill'!$C$14-(0.61094*EXP(17.625*(((C72+0.4*'Cooling Tower &amp; Corrugated Fill'!$C$12))-32)/1.8/((((C72+0.4*'Cooling Tower &amp; Corrugated Fill'!$C$12))-32)/1.8+243.04))))*(1061+0.444*((C72+0.4*'Cooling Tower &amp; Corrugated Fill'!$C$12))))-('Merkel Solver'!$C$4+'Cooling Tower &amp; Corrugated Fill'!$C$13*0.4*'Cooling Tower &amp; Corrugated Fill'!$C$12)</f>
        <v/>
      </c>
      <c r="F72" s="14">
        <f>(0.24*((C72+0.6*'Cooling Tower &amp; Corrugated Fill'!$C$12))+0.62198*(0.61094*EXP(17.625*(((C72+0.6*'Cooling Tower &amp; Corrugated Fill'!$C$12))-32)/1.8/((((C72+0.6*'Cooling Tower &amp; Corrugated Fill'!$C$12))-32)/1.8+243.04)))/('Cooling Tower &amp; Corrugated Fill'!$C$14-(0.61094*EXP(17.625*(((C72+0.6*'Cooling Tower &amp; Corrugated Fill'!$C$12))-32)/1.8/((((C72+0.6*'Cooling Tower &amp; Corrugated Fill'!$C$12))-32)/1.8+243.04))))*(1061+0.444*((C72+0.6*'Cooling Tower &amp; Corrugated Fill'!$C$12))))-('Merkel Solver'!$C$4+'Cooling Tower &amp; Corrugated Fill'!$C$13*0.6*'Cooling Tower &amp; Corrugated Fill'!$C$12)</f>
        <v/>
      </c>
      <c r="G72" s="14">
        <f>(0.24*((C72+0.9*'Cooling Tower &amp; Corrugated Fill'!$C$12))+0.62198*(0.61094*EXP(17.625*(((C72+0.9*'Cooling Tower &amp; Corrugated Fill'!$C$12))-32)/1.8/((((C72+0.9*'Cooling Tower &amp; Corrugated Fill'!$C$12))-32)/1.8+243.04)))/('Cooling Tower &amp; Corrugated Fill'!$C$14-(0.61094*EXP(17.625*(((C72+0.9*'Cooling Tower &amp; Corrugated Fill'!$C$12))-32)/1.8/((((C72+0.9*'Cooling Tower &amp; Corrugated Fill'!$C$12))-32)/1.8+243.04))))*(1061+0.444*((C72+0.9*'Cooling Tower &amp; Corrugated Fill'!$C$12))))-('Merkel Solver'!$C$4+'Cooling Tower &amp; Corrugated Fill'!$C$13*0.9*'Cooling Tower &amp; Corrugated Fill'!$C$12)</f>
        <v/>
      </c>
      <c r="H72" s="22">
        <f>IF(MIN(D72:G72)&lt;=0,99999,'Cooling Tower &amp; Corrugated Fill'!$C$12/4*(1/D72+1/E72+1/F72+1/G72))</f>
        <v/>
      </c>
    </row>
    <row r="73">
      <c r="B73" s="30" t="n">
        <v>6.7</v>
      </c>
      <c r="C73" s="12">
        <f>'Dashboard'!$C$9+B73</f>
        <v/>
      </c>
      <c r="D73" s="14">
        <f>(0.24*((C73+0.1*'Cooling Tower &amp; Corrugated Fill'!$C$12))+0.62198*(0.61094*EXP(17.625*(((C73+0.1*'Cooling Tower &amp; Corrugated Fill'!$C$12))-32)/1.8/((((C73+0.1*'Cooling Tower &amp; Corrugated Fill'!$C$12))-32)/1.8+243.04)))/('Cooling Tower &amp; Corrugated Fill'!$C$14-(0.61094*EXP(17.625*(((C73+0.1*'Cooling Tower &amp; Corrugated Fill'!$C$12))-32)/1.8/((((C73+0.1*'Cooling Tower &amp; Corrugated Fill'!$C$12))-32)/1.8+243.04))))*(1061+0.444*((C73+0.1*'Cooling Tower &amp; Corrugated Fill'!$C$12))))-('Merkel Solver'!$C$4+'Cooling Tower &amp; Corrugated Fill'!$C$13*0.1*'Cooling Tower &amp; Corrugated Fill'!$C$12)</f>
        <v/>
      </c>
      <c r="E73" s="14">
        <f>(0.24*((C73+0.4*'Cooling Tower &amp; Corrugated Fill'!$C$12))+0.62198*(0.61094*EXP(17.625*(((C73+0.4*'Cooling Tower &amp; Corrugated Fill'!$C$12))-32)/1.8/((((C73+0.4*'Cooling Tower &amp; Corrugated Fill'!$C$12))-32)/1.8+243.04)))/('Cooling Tower &amp; Corrugated Fill'!$C$14-(0.61094*EXP(17.625*(((C73+0.4*'Cooling Tower &amp; Corrugated Fill'!$C$12))-32)/1.8/((((C73+0.4*'Cooling Tower &amp; Corrugated Fill'!$C$12))-32)/1.8+243.04))))*(1061+0.444*((C73+0.4*'Cooling Tower &amp; Corrugated Fill'!$C$12))))-('Merkel Solver'!$C$4+'Cooling Tower &amp; Corrugated Fill'!$C$13*0.4*'Cooling Tower &amp; Corrugated Fill'!$C$12)</f>
        <v/>
      </c>
      <c r="F73" s="14">
        <f>(0.24*((C73+0.6*'Cooling Tower &amp; Corrugated Fill'!$C$12))+0.62198*(0.61094*EXP(17.625*(((C73+0.6*'Cooling Tower &amp; Corrugated Fill'!$C$12))-32)/1.8/((((C73+0.6*'Cooling Tower &amp; Corrugated Fill'!$C$12))-32)/1.8+243.04)))/('Cooling Tower &amp; Corrugated Fill'!$C$14-(0.61094*EXP(17.625*(((C73+0.6*'Cooling Tower &amp; Corrugated Fill'!$C$12))-32)/1.8/((((C73+0.6*'Cooling Tower &amp; Corrugated Fill'!$C$12))-32)/1.8+243.04))))*(1061+0.444*((C73+0.6*'Cooling Tower &amp; Corrugated Fill'!$C$12))))-('Merkel Solver'!$C$4+'Cooling Tower &amp; Corrugated Fill'!$C$13*0.6*'Cooling Tower &amp; Corrugated Fill'!$C$12)</f>
        <v/>
      </c>
      <c r="G73" s="14">
        <f>(0.24*((C73+0.9*'Cooling Tower &amp; Corrugated Fill'!$C$12))+0.62198*(0.61094*EXP(17.625*(((C73+0.9*'Cooling Tower &amp; Corrugated Fill'!$C$12))-32)/1.8/((((C73+0.9*'Cooling Tower &amp; Corrugated Fill'!$C$12))-32)/1.8+243.04)))/('Cooling Tower &amp; Corrugated Fill'!$C$14-(0.61094*EXP(17.625*(((C73+0.9*'Cooling Tower &amp; Corrugated Fill'!$C$12))-32)/1.8/((((C73+0.9*'Cooling Tower &amp; Corrugated Fill'!$C$12))-32)/1.8+243.04))))*(1061+0.444*((C73+0.9*'Cooling Tower &amp; Corrugated Fill'!$C$12))))-('Merkel Solver'!$C$4+'Cooling Tower &amp; Corrugated Fill'!$C$13*0.9*'Cooling Tower &amp; Corrugated Fill'!$C$12)</f>
        <v/>
      </c>
      <c r="H73" s="22">
        <f>IF(MIN(D73:G73)&lt;=0,99999,'Cooling Tower &amp; Corrugated Fill'!$C$12/4*(1/D73+1/E73+1/F73+1/G73))</f>
        <v/>
      </c>
    </row>
    <row r="74">
      <c r="B74" s="30" t="n">
        <v>6.8</v>
      </c>
      <c r="C74" s="12">
        <f>'Dashboard'!$C$9+B74</f>
        <v/>
      </c>
      <c r="D74" s="14">
        <f>(0.24*((C74+0.1*'Cooling Tower &amp; Corrugated Fill'!$C$12))+0.62198*(0.61094*EXP(17.625*(((C74+0.1*'Cooling Tower &amp; Corrugated Fill'!$C$12))-32)/1.8/((((C74+0.1*'Cooling Tower &amp; Corrugated Fill'!$C$12))-32)/1.8+243.04)))/('Cooling Tower &amp; Corrugated Fill'!$C$14-(0.61094*EXP(17.625*(((C74+0.1*'Cooling Tower &amp; Corrugated Fill'!$C$12))-32)/1.8/((((C74+0.1*'Cooling Tower &amp; Corrugated Fill'!$C$12))-32)/1.8+243.04))))*(1061+0.444*((C74+0.1*'Cooling Tower &amp; Corrugated Fill'!$C$12))))-('Merkel Solver'!$C$4+'Cooling Tower &amp; Corrugated Fill'!$C$13*0.1*'Cooling Tower &amp; Corrugated Fill'!$C$12)</f>
        <v/>
      </c>
      <c r="E74" s="14">
        <f>(0.24*((C74+0.4*'Cooling Tower &amp; Corrugated Fill'!$C$12))+0.62198*(0.61094*EXP(17.625*(((C74+0.4*'Cooling Tower &amp; Corrugated Fill'!$C$12))-32)/1.8/((((C74+0.4*'Cooling Tower &amp; Corrugated Fill'!$C$12))-32)/1.8+243.04)))/('Cooling Tower &amp; Corrugated Fill'!$C$14-(0.61094*EXP(17.625*(((C74+0.4*'Cooling Tower &amp; Corrugated Fill'!$C$12))-32)/1.8/((((C74+0.4*'Cooling Tower &amp; Corrugated Fill'!$C$12))-32)/1.8+243.04))))*(1061+0.444*((C74+0.4*'Cooling Tower &amp; Corrugated Fill'!$C$12))))-('Merkel Solver'!$C$4+'Cooling Tower &amp; Corrugated Fill'!$C$13*0.4*'Cooling Tower &amp; Corrugated Fill'!$C$12)</f>
        <v/>
      </c>
      <c r="F74" s="14">
        <f>(0.24*((C74+0.6*'Cooling Tower &amp; Corrugated Fill'!$C$12))+0.62198*(0.61094*EXP(17.625*(((C74+0.6*'Cooling Tower &amp; Corrugated Fill'!$C$12))-32)/1.8/((((C74+0.6*'Cooling Tower &amp; Corrugated Fill'!$C$12))-32)/1.8+243.04)))/('Cooling Tower &amp; Corrugated Fill'!$C$14-(0.61094*EXP(17.625*(((C74+0.6*'Cooling Tower &amp; Corrugated Fill'!$C$12))-32)/1.8/((((C74+0.6*'Cooling Tower &amp; Corrugated Fill'!$C$12))-32)/1.8+243.04))))*(1061+0.444*((C74+0.6*'Cooling Tower &amp; Corrugated Fill'!$C$12))))-('Merkel Solver'!$C$4+'Cooling Tower &amp; Corrugated Fill'!$C$13*0.6*'Cooling Tower &amp; Corrugated Fill'!$C$12)</f>
        <v/>
      </c>
      <c r="G74" s="14">
        <f>(0.24*((C74+0.9*'Cooling Tower &amp; Corrugated Fill'!$C$12))+0.62198*(0.61094*EXP(17.625*(((C74+0.9*'Cooling Tower &amp; Corrugated Fill'!$C$12))-32)/1.8/((((C74+0.9*'Cooling Tower &amp; Corrugated Fill'!$C$12))-32)/1.8+243.04)))/('Cooling Tower &amp; Corrugated Fill'!$C$14-(0.61094*EXP(17.625*(((C74+0.9*'Cooling Tower &amp; Corrugated Fill'!$C$12))-32)/1.8/((((C74+0.9*'Cooling Tower &amp; Corrugated Fill'!$C$12))-32)/1.8+243.04))))*(1061+0.444*((C74+0.9*'Cooling Tower &amp; Corrugated Fill'!$C$12))))-('Merkel Solver'!$C$4+'Cooling Tower &amp; Corrugated Fill'!$C$13*0.9*'Cooling Tower &amp; Corrugated Fill'!$C$12)</f>
        <v/>
      </c>
      <c r="H74" s="22">
        <f>IF(MIN(D74:G74)&lt;=0,99999,'Cooling Tower &amp; Corrugated Fill'!$C$12/4*(1/D74+1/E74+1/F74+1/G74))</f>
        <v/>
      </c>
    </row>
    <row r="75">
      <c r="B75" s="30" t="n">
        <v>6.9</v>
      </c>
      <c r="C75" s="12">
        <f>'Dashboard'!$C$9+B75</f>
        <v/>
      </c>
      <c r="D75" s="14">
        <f>(0.24*((C75+0.1*'Cooling Tower &amp; Corrugated Fill'!$C$12))+0.62198*(0.61094*EXP(17.625*(((C75+0.1*'Cooling Tower &amp; Corrugated Fill'!$C$12))-32)/1.8/((((C75+0.1*'Cooling Tower &amp; Corrugated Fill'!$C$12))-32)/1.8+243.04)))/('Cooling Tower &amp; Corrugated Fill'!$C$14-(0.61094*EXP(17.625*(((C75+0.1*'Cooling Tower &amp; Corrugated Fill'!$C$12))-32)/1.8/((((C75+0.1*'Cooling Tower &amp; Corrugated Fill'!$C$12))-32)/1.8+243.04))))*(1061+0.444*((C75+0.1*'Cooling Tower &amp; Corrugated Fill'!$C$12))))-('Merkel Solver'!$C$4+'Cooling Tower &amp; Corrugated Fill'!$C$13*0.1*'Cooling Tower &amp; Corrugated Fill'!$C$12)</f>
        <v/>
      </c>
      <c r="E75" s="14">
        <f>(0.24*((C75+0.4*'Cooling Tower &amp; Corrugated Fill'!$C$12))+0.62198*(0.61094*EXP(17.625*(((C75+0.4*'Cooling Tower &amp; Corrugated Fill'!$C$12))-32)/1.8/((((C75+0.4*'Cooling Tower &amp; Corrugated Fill'!$C$12))-32)/1.8+243.04)))/('Cooling Tower &amp; Corrugated Fill'!$C$14-(0.61094*EXP(17.625*(((C75+0.4*'Cooling Tower &amp; Corrugated Fill'!$C$12))-32)/1.8/((((C75+0.4*'Cooling Tower &amp; Corrugated Fill'!$C$12))-32)/1.8+243.04))))*(1061+0.444*((C75+0.4*'Cooling Tower &amp; Corrugated Fill'!$C$12))))-('Merkel Solver'!$C$4+'Cooling Tower &amp; Corrugated Fill'!$C$13*0.4*'Cooling Tower &amp; Corrugated Fill'!$C$12)</f>
        <v/>
      </c>
      <c r="F75" s="14">
        <f>(0.24*((C75+0.6*'Cooling Tower &amp; Corrugated Fill'!$C$12))+0.62198*(0.61094*EXP(17.625*(((C75+0.6*'Cooling Tower &amp; Corrugated Fill'!$C$12))-32)/1.8/((((C75+0.6*'Cooling Tower &amp; Corrugated Fill'!$C$12))-32)/1.8+243.04)))/('Cooling Tower &amp; Corrugated Fill'!$C$14-(0.61094*EXP(17.625*(((C75+0.6*'Cooling Tower &amp; Corrugated Fill'!$C$12))-32)/1.8/((((C75+0.6*'Cooling Tower &amp; Corrugated Fill'!$C$12))-32)/1.8+243.04))))*(1061+0.444*((C75+0.6*'Cooling Tower &amp; Corrugated Fill'!$C$12))))-('Merkel Solver'!$C$4+'Cooling Tower &amp; Corrugated Fill'!$C$13*0.6*'Cooling Tower &amp; Corrugated Fill'!$C$12)</f>
        <v/>
      </c>
      <c r="G75" s="14">
        <f>(0.24*((C75+0.9*'Cooling Tower &amp; Corrugated Fill'!$C$12))+0.62198*(0.61094*EXP(17.625*(((C75+0.9*'Cooling Tower &amp; Corrugated Fill'!$C$12))-32)/1.8/((((C75+0.9*'Cooling Tower &amp; Corrugated Fill'!$C$12))-32)/1.8+243.04)))/('Cooling Tower &amp; Corrugated Fill'!$C$14-(0.61094*EXP(17.625*(((C75+0.9*'Cooling Tower &amp; Corrugated Fill'!$C$12))-32)/1.8/((((C75+0.9*'Cooling Tower &amp; Corrugated Fill'!$C$12))-32)/1.8+243.04))))*(1061+0.444*((C75+0.9*'Cooling Tower &amp; Corrugated Fill'!$C$12))))-('Merkel Solver'!$C$4+'Cooling Tower &amp; Corrugated Fill'!$C$13*0.9*'Cooling Tower &amp; Corrugated Fill'!$C$12)</f>
        <v/>
      </c>
      <c r="H75" s="22">
        <f>IF(MIN(D75:G75)&lt;=0,99999,'Cooling Tower &amp; Corrugated Fill'!$C$12/4*(1/D75+1/E75+1/F75+1/G75))</f>
        <v/>
      </c>
    </row>
    <row r="76">
      <c r="B76" s="30" t="n">
        <v>7</v>
      </c>
      <c r="C76" s="12">
        <f>'Dashboard'!$C$9+B76</f>
        <v/>
      </c>
      <c r="D76" s="14">
        <f>(0.24*((C76+0.1*'Cooling Tower &amp; Corrugated Fill'!$C$12))+0.62198*(0.61094*EXP(17.625*(((C76+0.1*'Cooling Tower &amp; Corrugated Fill'!$C$12))-32)/1.8/((((C76+0.1*'Cooling Tower &amp; Corrugated Fill'!$C$12))-32)/1.8+243.04)))/('Cooling Tower &amp; Corrugated Fill'!$C$14-(0.61094*EXP(17.625*(((C76+0.1*'Cooling Tower &amp; Corrugated Fill'!$C$12))-32)/1.8/((((C76+0.1*'Cooling Tower &amp; Corrugated Fill'!$C$12))-32)/1.8+243.04))))*(1061+0.444*((C76+0.1*'Cooling Tower &amp; Corrugated Fill'!$C$12))))-('Merkel Solver'!$C$4+'Cooling Tower &amp; Corrugated Fill'!$C$13*0.1*'Cooling Tower &amp; Corrugated Fill'!$C$12)</f>
        <v/>
      </c>
      <c r="E76" s="14">
        <f>(0.24*((C76+0.4*'Cooling Tower &amp; Corrugated Fill'!$C$12))+0.62198*(0.61094*EXP(17.625*(((C76+0.4*'Cooling Tower &amp; Corrugated Fill'!$C$12))-32)/1.8/((((C76+0.4*'Cooling Tower &amp; Corrugated Fill'!$C$12))-32)/1.8+243.04)))/('Cooling Tower &amp; Corrugated Fill'!$C$14-(0.61094*EXP(17.625*(((C76+0.4*'Cooling Tower &amp; Corrugated Fill'!$C$12))-32)/1.8/((((C76+0.4*'Cooling Tower &amp; Corrugated Fill'!$C$12))-32)/1.8+243.04))))*(1061+0.444*((C76+0.4*'Cooling Tower &amp; Corrugated Fill'!$C$12))))-('Merkel Solver'!$C$4+'Cooling Tower &amp; Corrugated Fill'!$C$13*0.4*'Cooling Tower &amp; Corrugated Fill'!$C$12)</f>
        <v/>
      </c>
      <c r="F76" s="14">
        <f>(0.24*((C76+0.6*'Cooling Tower &amp; Corrugated Fill'!$C$12))+0.62198*(0.61094*EXP(17.625*(((C76+0.6*'Cooling Tower &amp; Corrugated Fill'!$C$12))-32)/1.8/((((C76+0.6*'Cooling Tower &amp; Corrugated Fill'!$C$12))-32)/1.8+243.04)))/('Cooling Tower &amp; Corrugated Fill'!$C$14-(0.61094*EXP(17.625*(((C76+0.6*'Cooling Tower &amp; Corrugated Fill'!$C$12))-32)/1.8/((((C76+0.6*'Cooling Tower &amp; Corrugated Fill'!$C$12))-32)/1.8+243.04))))*(1061+0.444*((C76+0.6*'Cooling Tower &amp; Corrugated Fill'!$C$12))))-('Merkel Solver'!$C$4+'Cooling Tower &amp; Corrugated Fill'!$C$13*0.6*'Cooling Tower &amp; Corrugated Fill'!$C$12)</f>
        <v/>
      </c>
      <c r="G76" s="14">
        <f>(0.24*((C76+0.9*'Cooling Tower &amp; Corrugated Fill'!$C$12))+0.62198*(0.61094*EXP(17.625*(((C76+0.9*'Cooling Tower &amp; Corrugated Fill'!$C$12))-32)/1.8/((((C76+0.9*'Cooling Tower &amp; Corrugated Fill'!$C$12))-32)/1.8+243.04)))/('Cooling Tower &amp; Corrugated Fill'!$C$14-(0.61094*EXP(17.625*(((C76+0.9*'Cooling Tower &amp; Corrugated Fill'!$C$12))-32)/1.8/((((C76+0.9*'Cooling Tower &amp; Corrugated Fill'!$C$12))-32)/1.8+243.04))))*(1061+0.444*((C76+0.9*'Cooling Tower &amp; Corrugated Fill'!$C$12))))-('Merkel Solver'!$C$4+'Cooling Tower &amp; Corrugated Fill'!$C$13*0.9*'Cooling Tower &amp; Corrugated Fill'!$C$12)</f>
        <v/>
      </c>
      <c r="H76" s="22">
        <f>IF(MIN(D76:G76)&lt;=0,99999,'Cooling Tower &amp; Corrugated Fill'!$C$12/4*(1/D76+1/E76+1/F76+1/G76))</f>
        <v/>
      </c>
    </row>
    <row r="77">
      <c r="B77" s="30" t="n">
        <v>7.1</v>
      </c>
      <c r="C77" s="12">
        <f>'Dashboard'!$C$9+B77</f>
        <v/>
      </c>
      <c r="D77" s="14">
        <f>(0.24*((C77+0.1*'Cooling Tower &amp; Corrugated Fill'!$C$12))+0.62198*(0.61094*EXP(17.625*(((C77+0.1*'Cooling Tower &amp; Corrugated Fill'!$C$12))-32)/1.8/((((C77+0.1*'Cooling Tower &amp; Corrugated Fill'!$C$12))-32)/1.8+243.04)))/('Cooling Tower &amp; Corrugated Fill'!$C$14-(0.61094*EXP(17.625*(((C77+0.1*'Cooling Tower &amp; Corrugated Fill'!$C$12))-32)/1.8/((((C77+0.1*'Cooling Tower &amp; Corrugated Fill'!$C$12))-32)/1.8+243.04))))*(1061+0.444*((C77+0.1*'Cooling Tower &amp; Corrugated Fill'!$C$12))))-('Merkel Solver'!$C$4+'Cooling Tower &amp; Corrugated Fill'!$C$13*0.1*'Cooling Tower &amp; Corrugated Fill'!$C$12)</f>
        <v/>
      </c>
      <c r="E77" s="14">
        <f>(0.24*((C77+0.4*'Cooling Tower &amp; Corrugated Fill'!$C$12))+0.62198*(0.61094*EXP(17.625*(((C77+0.4*'Cooling Tower &amp; Corrugated Fill'!$C$12))-32)/1.8/((((C77+0.4*'Cooling Tower &amp; Corrugated Fill'!$C$12))-32)/1.8+243.04)))/('Cooling Tower &amp; Corrugated Fill'!$C$14-(0.61094*EXP(17.625*(((C77+0.4*'Cooling Tower &amp; Corrugated Fill'!$C$12))-32)/1.8/((((C77+0.4*'Cooling Tower &amp; Corrugated Fill'!$C$12))-32)/1.8+243.04))))*(1061+0.444*((C77+0.4*'Cooling Tower &amp; Corrugated Fill'!$C$12))))-('Merkel Solver'!$C$4+'Cooling Tower &amp; Corrugated Fill'!$C$13*0.4*'Cooling Tower &amp; Corrugated Fill'!$C$12)</f>
        <v/>
      </c>
      <c r="F77" s="14">
        <f>(0.24*((C77+0.6*'Cooling Tower &amp; Corrugated Fill'!$C$12))+0.62198*(0.61094*EXP(17.625*(((C77+0.6*'Cooling Tower &amp; Corrugated Fill'!$C$12))-32)/1.8/((((C77+0.6*'Cooling Tower &amp; Corrugated Fill'!$C$12))-32)/1.8+243.04)))/('Cooling Tower &amp; Corrugated Fill'!$C$14-(0.61094*EXP(17.625*(((C77+0.6*'Cooling Tower &amp; Corrugated Fill'!$C$12))-32)/1.8/((((C77+0.6*'Cooling Tower &amp; Corrugated Fill'!$C$12))-32)/1.8+243.04))))*(1061+0.444*((C77+0.6*'Cooling Tower &amp; Corrugated Fill'!$C$12))))-('Merkel Solver'!$C$4+'Cooling Tower &amp; Corrugated Fill'!$C$13*0.6*'Cooling Tower &amp; Corrugated Fill'!$C$12)</f>
        <v/>
      </c>
      <c r="G77" s="14">
        <f>(0.24*((C77+0.9*'Cooling Tower &amp; Corrugated Fill'!$C$12))+0.62198*(0.61094*EXP(17.625*(((C77+0.9*'Cooling Tower &amp; Corrugated Fill'!$C$12))-32)/1.8/((((C77+0.9*'Cooling Tower &amp; Corrugated Fill'!$C$12))-32)/1.8+243.04)))/('Cooling Tower &amp; Corrugated Fill'!$C$14-(0.61094*EXP(17.625*(((C77+0.9*'Cooling Tower &amp; Corrugated Fill'!$C$12))-32)/1.8/((((C77+0.9*'Cooling Tower &amp; Corrugated Fill'!$C$12))-32)/1.8+243.04))))*(1061+0.444*((C77+0.9*'Cooling Tower &amp; Corrugated Fill'!$C$12))))-('Merkel Solver'!$C$4+'Cooling Tower &amp; Corrugated Fill'!$C$13*0.9*'Cooling Tower &amp; Corrugated Fill'!$C$12)</f>
        <v/>
      </c>
      <c r="H77" s="22">
        <f>IF(MIN(D77:G77)&lt;=0,99999,'Cooling Tower &amp; Corrugated Fill'!$C$12/4*(1/D77+1/E77+1/F77+1/G77))</f>
        <v/>
      </c>
    </row>
    <row r="78">
      <c r="B78" s="30" t="n">
        <v>7.2</v>
      </c>
      <c r="C78" s="12">
        <f>'Dashboard'!$C$9+B78</f>
        <v/>
      </c>
      <c r="D78" s="14">
        <f>(0.24*((C78+0.1*'Cooling Tower &amp; Corrugated Fill'!$C$12))+0.62198*(0.61094*EXP(17.625*(((C78+0.1*'Cooling Tower &amp; Corrugated Fill'!$C$12))-32)/1.8/((((C78+0.1*'Cooling Tower &amp; Corrugated Fill'!$C$12))-32)/1.8+243.04)))/('Cooling Tower &amp; Corrugated Fill'!$C$14-(0.61094*EXP(17.625*(((C78+0.1*'Cooling Tower &amp; Corrugated Fill'!$C$12))-32)/1.8/((((C78+0.1*'Cooling Tower &amp; Corrugated Fill'!$C$12))-32)/1.8+243.04))))*(1061+0.444*((C78+0.1*'Cooling Tower &amp; Corrugated Fill'!$C$12))))-('Merkel Solver'!$C$4+'Cooling Tower &amp; Corrugated Fill'!$C$13*0.1*'Cooling Tower &amp; Corrugated Fill'!$C$12)</f>
        <v/>
      </c>
      <c r="E78" s="14">
        <f>(0.24*((C78+0.4*'Cooling Tower &amp; Corrugated Fill'!$C$12))+0.62198*(0.61094*EXP(17.625*(((C78+0.4*'Cooling Tower &amp; Corrugated Fill'!$C$12))-32)/1.8/((((C78+0.4*'Cooling Tower &amp; Corrugated Fill'!$C$12))-32)/1.8+243.04)))/('Cooling Tower &amp; Corrugated Fill'!$C$14-(0.61094*EXP(17.625*(((C78+0.4*'Cooling Tower &amp; Corrugated Fill'!$C$12))-32)/1.8/((((C78+0.4*'Cooling Tower &amp; Corrugated Fill'!$C$12))-32)/1.8+243.04))))*(1061+0.444*((C78+0.4*'Cooling Tower &amp; Corrugated Fill'!$C$12))))-('Merkel Solver'!$C$4+'Cooling Tower &amp; Corrugated Fill'!$C$13*0.4*'Cooling Tower &amp; Corrugated Fill'!$C$12)</f>
        <v/>
      </c>
      <c r="F78" s="14">
        <f>(0.24*((C78+0.6*'Cooling Tower &amp; Corrugated Fill'!$C$12))+0.62198*(0.61094*EXP(17.625*(((C78+0.6*'Cooling Tower &amp; Corrugated Fill'!$C$12))-32)/1.8/((((C78+0.6*'Cooling Tower &amp; Corrugated Fill'!$C$12))-32)/1.8+243.04)))/('Cooling Tower &amp; Corrugated Fill'!$C$14-(0.61094*EXP(17.625*(((C78+0.6*'Cooling Tower &amp; Corrugated Fill'!$C$12))-32)/1.8/((((C78+0.6*'Cooling Tower &amp; Corrugated Fill'!$C$12))-32)/1.8+243.04))))*(1061+0.444*((C78+0.6*'Cooling Tower &amp; Corrugated Fill'!$C$12))))-('Merkel Solver'!$C$4+'Cooling Tower &amp; Corrugated Fill'!$C$13*0.6*'Cooling Tower &amp; Corrugated Fill'!$C$12)</f>
        <v/>
      </c>
      <c r="G78" s="14">
        <f>(0.24*((C78+0.9*'Cooling Tower &amp; Corrugated Fill'!$C$12))+0.62198*(0.61094*EXP(17.625*(((C78+0.9*'Cooling Tower &amp; Corrugated Fill'!$C$12))-32)/1.8/((((C78+0.9*'Cooling Tower &amp; Corrugated Fill'!$C$12))-32)/1.8+243.04)))/('Cooling Tower &amp; Corrugated Fill'!$C$14-(0.61094*EXP(17.625*(((C78+0.9*'Cooling Tower &amp; Corrugated Fill'!$C$12))-32)/1.8/((((C78+0.9*'Cooling Tower &amp; Corrugated Fill'!$C$12))-32)/1.8+243.04))))*(1061+0.444*((C78+0.9*'Cooling Tower &amp; Corrugated Fill'!$C$12))))-('Merkel Solver'!$C$4+'Cooling Tower &amp; Corrugated Fill'!$C$13*0.9*'Cooling Tower &amp; Corrugated Fill'!$C$12)</f>
        <v/>
      </c>
      <c r="H78" s="22">
        <f>IF(MIN(D78:G78)&lt;=0,99999,'Cooling Tower &amp; Corrugated Fill'!$C$12/4*(1/D78+1/E78+1/F78+1/G78))</f>
        <v/>
      </c>
    </row>
    <row r="79">
      <c r="B79" s="30" t="n">
        <v>7.3</v>
      </c>
      <c r="C79" s="12">
        <f>'Dashboard'!$C$9+B79</f>
        <v/>
      </c>
      <c r="D79" s="14">
        <f>(0.24*((C79+0.1*'Cooling Tower &amp; Corrugated Fill'!$C$12))+0.62198*(0.61094*EXP(17.625*(((C79+0.1*'Cooling Tower &amp; Corrugated Fill'!$C$12))-32)/1.8/((((C79+0.1*'Cooling Tower &amp; Corrugated Fill'!$C$12))-32)/1.8+243.04)))/('Cooling Tower &amp; Corrugated Fill'!$C$14-(0.61094*EXP(17.625*(((C79+0.1*'Cooling Tower &amp; Corrugated Fill'!$C$12))-32)/1.8/((((C79+0.1*'Cooling Tower &amp; Corrugated Fill'!$C$12))-32)/1.8+243.04))))*(1061+0.444*((C79+0.1*'Cooling Tower &amp; Corrugated Fill'!$C$12))))-('Merkel Solver'!$C$4+'Cooling Tower &amp; Corrugated Fill'!$C$13*0.1*'Cooling Tower &amp; Corrugated Fill'!$C$12)</f>
        <v/>
      </c>
      <c r="E79" s="14">
        <f>(0.24*((C79+0.4*'Cooling Tower &amp; Corrugated Fill'!$C$12))+0.62198*(0.61094*EXP(17.625*(((C79+0.4*'Cooling Tower &amp; Corrugated Fill'!$C$12))-32)/1.8/((((C79+0.4*'Cooling Tower &amp; Corrugated Fill'!$C$12))-32)/1.8+243.04)))/('Cooling Tower &amp; Corrugated Fill'!$C$14-(0.61094*EXP(17.625*(((C79+0.4*'Cooling Tower &amp; Corrugated Fill'!$C$12))-32)/1.8/((((C79+0.4*'Cooling Tower &amp; Corrugated Fill'!$C$12))-32)/1.8+243.04))))*(1061+0.444*((C79+0.4*'Cooling Tower &amp; Corrugated Fill'!$C$12))))-('Merkel Solver'!$C$4+'Cooling Tower &amp; Corrugated Fill'!$C$13*0.4*'Cooling Tower &amp; Corrugated Fill'!$C$12)</f>
        <v/>
      </c>
      <c r="F79" s="14">
        <f>(0.24*((C79+0.6*'Cooling Tower &amp; Corrugated Fill'!$C$12))+0.62198*(0.61094*EXP(17.625*(((C79+0.6*'Cooling Tower &amp; Corrugated Fill'!$C$12))-32)/1.8/((((C79+0.6*'Cooling Tower &amp; Corrugated Fill'!$C$12))-32)/1.8+243.04)))/('Cooling Tower &amp; Corrugated Fill'!$C$14-(0.61094*EXP(17.625*(((C79+0.6*'Cooling Tower &amp; Corrugated Fill'!$C$12))-32)/1.8/((((C79+0.6*'Cooling Tower &amp; Corrugated Fill'!$C$12))-32)/1.8+243.04))))*(1061+0.444*((C79+0.6*'Cooling Tower &amp; Corrugated Fill'!$C$12))))-('Merkel Solver'!$C$4+'Cooling Tower &amp; Corrugated Fill'!$C$13*0.6*'Cooling Tower &amp; Corrugated Fill'!$C$12)</f>
        <v/>
      </c>
      <c r="G79" s="14">
        <f>(0.24*((C79+0.9*'Cooling Tower &amp; Corrugated Fill'!$C$12))+0.62198*(0.61094*EXP(17.625*(((C79+0.9*'Cooling Tower &amp; Corrugated Fill'!$C$12))-32)/1.8/((((C79+0.9*'Cooling Tower &amp; Corrugated Fill'!$C$12))-32)/1.8+243.04)))/('Cooling Tower &amp; Corrugated Fill'!$C$14-(0.61094*EXP(17.625*(((C79+0.9*'Cooling Tower &amp; Corrugated Fill'!$C$12))-32)/1.8/((((C79+0.9*'Cooling Tower &amp; Corrugated Fill'!$C$12))-32)/1.8+243.04))))*(1061+0.444*((C79+0.9*'Cooling Tower &amp; Corrugated Fill'!$C$12))))-('Merkel Solver'!$C$4+'Cooling Tower &amp; Corrugated Fill'!$C$13*0.9*'Cooling Tower &amp; Corrugated Fill'!$C$12)</f>
        <v/>
      </c>
      <c r="H79" s="22">
        <f>IF(MIN(D79:G79)&lt;=0,99999,'Cooling Tower &amp; Corrugated Fill'!$C$12/4*(1/D79+1/E79+1/F79+1/G79))</f>
        <v/>
      </c>
    </row>
    <row r="80">
      <c r="B80" s="30" t="n">
        <v>7.4</v>
      </c>
      <c r="C80" s="12">
        <f>'Dashboard'!$C$9+B80</f>
        <v/>
      </c>
      <c r="D80" s="14">
        <f>(0.24*((C80+0.1*'Cooling Tower &amp; Corrugated Fill'!$C$12))+0.62198*(0.61094*EXP(17.625*(((C80+0.1*'Cooling Tower &amp; Corrugated Fill'!$C$12))-32)/1.8/((((C80+0.1*'Cooling Tower &amp; Corrugated Fill'!$C$12))-32)/1.8+243.04)))/('Cooling Tower &amp; Corrugated Fill'!$C$14-(0.61094*EXP(17.625*(((C80+0.1*'Cooling Tower &amp; Corrugated Fill'!$C$12))-32)/1.8/((((C80+0.1*'Cooling Tower &amp; Corrugated Fill'!$C$12))-32)/1.8+243.04))))*(1061+0.444*((C80+0.1*'Cooling Tower &amp; Corrugated Fill'!$C$12))))-('Merkel Solver'!$C$4+'Cooling Tower &amp; Corrugated Fill'!$C$13*0.1*'Cooling Tower &amp; Corrugated Fill'!$C$12)</f>
        <v/>
      </c>
      <c r="E80" s="14">
        <f>(0.24*((C80+0.4*'Cooling Tower &amp; Corrugated Fill'!$C$12))+0.62198*(0.61094*EXP(17.625*(((C80+0.4*'Cooling Tower &amp; Corrugated Fill'!$C$12))-32)/1.8/((((C80+0.4*'Cooling Tower &amp; Corrugated Fill'!$C$12))-32)/1.8+243.04)))/('Cooling Tower &amp; Corrugated Fill'!$C$14-(0.61094*EXP(17.625*(((C80+0.4*'Cooling Tower &amp; Corrugated Fill'!$C$12))-32)/1.8/((((C80+0.4*'Cooling Tower &amp; Corrugated Fill'!$C$12))-32)/1.8+243.04))))*(1061+0.444*((C80+0.4*'Cooling Tower &amp; Corrugated Fill'!$C$12))))-('Merkel Solver'!$C$4+'Cooling Tower &amp; Corrugated Fill'!$C$13*0.4*'Cooling Tower &amp; Corrugated Fill'!$C$12)</f>
        <v/>
      </c>
      <c r="F80" s="14">
        <f>(0.24*((C80+0.6*'Cooling Tower &amp; Corrugated Fill'!$C$12))+0.62198*(0.61094*EXP(17.625*(((C80+0.6*'Cooling Tower &amp; Corrugated Fill'!$C$12))-32)/1.8/((((C80+0.6*'Cooling Tower &amp; Corrugated Fill'!$C$12))-32)/1.8+243.04)))/('Cooling Tower &amp; Corrugated Fill'!$C$14-(0.61094*EXP(17.625*(((C80+0.6*'Cooling Tower &amp; Corrugated Fill'!$C$12))-32)/1.8/((((C80+0.6*'Cooling Tower &amp; Corrugated Fill'!$C$12))-32)/1.8+243.04))))*(1061+0.444*((C80+0.6*'Cooling Tower &amp; Corrugated Fill'!$C$12))))-('Merkel Solver'!$C$4+'Cooling Tower &amp; Corrugated Fill'!$C$13*0.6*'Cooling Tower &amp; Corrugated Fill'!$C$12)</f>
        <v/>
      </c>
      <c r="G80" s="14">
        <f>(0.24*((C80+0.9*'Cooling Tower &amp; Corrugated Fill'!$C$12))+0.62198*(0.61094*EXP(17.625*(((C80+0.9*'Cooling Tower &amp; Corrugated Fill'!$C$12))-32)/1.8/((((C80+0.9*'Cooling Tower &amp; Corrugated Fill'!$C$12))-32)/1.8+243.04)))/('Cooling Tower &amp; Corrugated Fill'!$C$14-(0.61094*EXP(17.625*(((C80+0.9*'Cooling Tower &amp; Corrugated Fill'!$C$12))-32)/1.8/((((C80+0.9*'Cooling Tower &amp; Corrugated Fill'!$C$12))-32)/1.8+243.04))))*(1061+0.444*((C80+0.9*'Cooling Tower &amp; Corrugated Fill'!$C$12))))-('Merkel Solver'!$C$4+'Cooling Tower &amp; Corrugated Fill'!$C$13*0.9*'Cooling Tower &amp; Corrugated Fill'!$C$12)</f>
        <v/>
      </c>
      <c r="H80" s="22">
        <f>IF(MIN(D80:G80)&lt;=0,99999,'Cooling Tower &amp; Corrugated Fill'!$C$12/4*(1/D80+1/E80+1/F80+1/G80))</f>
        <v/>
      </c>
    </row>
    <row r="81">
      <c r="B81" s="30" t="n">
        <v>7.5</v>
      </c>
      <c r="C81" s="12">
        <f>'Dashboard'!$C$9+B81</f>
        <v/>
      </c>
      <c r="D81" s="14">
        <f>(0.24*((C81+0.1*'Cooling Tower &amp; Corrugated Fill'!$C$12))+0.62198*(0.61094*EXP(17.625*(((C81+0.1*'Cooling Tower &amp; Corrugated Fill'!$C$12))-32)/1.8/((((C81+0.1*'Cooling Tower &amp; Corrugated Fill'!$C$12))-32)/1.8+243.04)))/('Cooling Tower &amp; Corrugated Fill'!$C$14-(0.61094*EXP(17.625*(((C81+0.1*'Cooling Tower &amp; Corrugated Fill'!$C$12))-32)/1.8/((((C81+0.1*'Cooling Tower &amp; Corrugated Fill'!$C$12))-32)/1.8+243.04))))*(1061+0.444*((C81+0.1*'Cooling Tower &amp; Corrugated Fill'!$C$12))))-('Merkel Solver'!$C$4+'Cooling Tower &amp; Corrugated Fill'!$C$13*0.1*'Cooling Tower &amp; Corrugated Fill'!$C$12)</f>
        <v/>
      </c>
      <c r="E81" s="14">
        <f>(0.24*((C81+0.4*'Cooling Tower &amp; Corrugated Fill'!$C$12))+0.62198*(0.61094*EXP(17.625*(((C81+0.4*'Cooling Tower &amp; Corrugated Fill'!$C$12))-32)/1.8/((((C81+0.4*'Cooling Tower &amp; Corrugated Fill'!$C$12))-32)/1.8+243.04)))/('Cooling Tower &amp; Corrugated Fill'!$C$14-(0.61094*EXP(17.625*(((C81+0.4*'Cooling Tower &amp; Corrugated Fill'!$C$12))-32)/1.8/((((C81+0.4*'Cooling Tower &amp; Corrugated Fill'!$C$12))-32)/1.8+243.04))))*(1061+0.444*((C81+0.4*'Cooling Tower &amp; Corrugated Fill'!$C$12))))-('Merkel Solver'!$C$4+'Cooling Tower &amp; Corrugated Fill'!$C$13*0.4*'Cooling Tower &amp; Corrugated Fill'!$C$12)</f>
        <v/>
      </c>
      <c r="F81" s="14">
        <f>(0.24*((C81+0.6*'Cooling Tower &amp; Corrugated Fill'!$C$12))+0.62198*(0.61094*EXP(17.625*(((C81+0.6*'Cooling Tower &amp; Corrugated Fill'!$C$12))-32)/1.8/((((C81+0.6*'Cooling Tower &amp; Corrugated Fill'!$C$12))-32)/1.8+243.04)))/('Cooling Tower &amp; Corrugated Fill'!$C$14-(0.61094*EXP(17.625*(((C81+0.6*'Cooling Tower &amp; Corrugated Fill'!$C$12))-32)/1.8/((((C81+0.6*'Cooling Tower &amp; Corrugated Fill'!$C$12))-32)/1.8+243.04))))*(1061+0.444*((C81+0.6*'Cooling Tower &amp; Corrugated Fill'!$C$12))))-('Merkel Solver'!$C$4+'Cooling Tower &amp; Corrugated Fill'!$C$13*0.6*'Cooling Tower &amp; Corrugated Fill'!$C$12)</f>
        <v/>
      </c>
      <c r="G81" s="14">
        <f>(0.24*((C81+0.9*'Cooling Tower &amp; Corrugated Fill'!$C$12))+0.62198*(0.61094*EXP(17.625*(((C81+0.9*'Cooling Tower &amp; Corrugated Fill'!$C$12))-32)/1.8/((((C81+0.9*'Cooling Tower &amp; Corrugated Fill'!$C$12))-32)/1.8+243.04)))/('Cooling Tower &amp; Corrugated Fill'!$C$14-(0.61094*EXP(17.625*(((C81+0.9*'Cooling Tower &amp; Corrugated Fill'!$C$12))-32)/1.8/((((C81+0.9*'Cooling Tower &amp; Corrugated Fill'!$C$12))-32)/1.8+243.04))))*(1061+0.444*((C81+0.9*'Cooling Tower &amp; Corrugated Fill'!$C$12))))-('Merkel Solver'!$C$4+'Cooling Tower &amp; Corrugated Fill'!$C$13*0.9*'Cooling Tower &amp; Corrugated Fill'!$C$12)</f>
        <v/>
      </c>
      <c r="H81" s="22">
        <f>IF(MIN(D81:G81)&lt;=0,99999,'Cooling Tower &amp; Corrugated Fill'!$C$12/4*(1/D81+1/E81+1/F81+1/G81))</f>
        <v/>
      </c>
    </row>
    <row r="82">
      <c r="B82" s="30" t="n">
        <v>7.6</v>
      </c>
      <c r="C82" s="12">
        <f>'Dashboard'!$C$9+B82</f>
        <v/>
      </c>
      <c r="D82" s="14">
        <f>(0.24*((C82+0.1*'Cooling Tower &amp; Corrugated Fill'!$C$12))+0.62198*(0.61094*EXP(17.625*(((C82+0.1*'Cooling Tower &amp; Corrugated Fill'!$C$12))-32)/1.8/((((C82+0.1*'Cooling Tower &amp; Corrugated Fill'!$C$12))-32)/1.8+243.04)))/('Cooling Tower &amp; Corrugated Fill'!$C$14-(0.61094*EXP(17.625*(((C82+0.1*'Cooling Tower &amp; Corrugated Fill'!$C$12))-32)/1.8/((((C82+0.1*'Cooling Tower &amp; Corrugated Fill'!$C$12))-32)/1.8+243.04))))*(1061+0.444*((C82+0.1*'Cooling Tower &amp; Corrugated Fill'!$C$12))))-('Merkel Solver'!$C$4+'Cooling Tower &amp; Corrugated Fill'!$C$13*0.1*'Cooling Tower &amp; Corrugated Fill'!$C$12)</f>
        <v/>
      </c>
      <c r="E82" s="14">
        <f>(0.24*((C82+0.4*'Cooling Tower &amp; Corrugated Fill'!$C$12))+0.62198*(0.61094*EXP(17.625*(((C82+0.4*'Cooling Tower &amp; Corrugated Fill'!$C$12))-32)/1.8/((((C82+0.4*'Cooling Tower &amp; Corrugated Fill'!$C$12))-32)/1.8+243.04)))/('Cooling Tower &amp; Corrugated Fill'!$C$14-(0.61094*EXP(17.625*(((C82+0.4*'Cooling Tower &amp; Corrugated Fill'!$C$12))-32)/1.8/((((C82+0.4*'Cooling Tower &amp; Corrugated Fill'!$C$12))-32)/1.8+243.04))))*(1061+0.444*((C82+0.4*'Cooling Tower &amp; Corrugated Fill'!$C$12))))-('Merkel Solver'!$C$4+'Cooling Tower &amp; Corrugated Fill'!$C$13*0.4*'Cooling Tower &amp; Corrugated Fill'!$C$12)</f>
        <v/>
      </c>
      <c r="F82" s="14">
        <f>(0.24*((C82+0.6*'Cooling Tower &amp; Corrugated Fill'!$C$12))+0.62198*(0.61094*EXP(17.625*(((C82+0.6*'Cooling Tower &amp; Corrugated Fill'!$C$12))-32)/1.8/((((C82+0.6*'Cooling Tower &amp; Corrugated Fill'!$C$12))-32)/1.8+243.04)))/('Cooling Tower &amp; Corrugated Fill'!$C$14-(0.61094*EXP(17.625*(((C82+0.6*'Cooling Tower &amp; Corrugated Fill'!$C$12))-32)/1.8/((((C82+0.6*'Cooling Tower &amp; Corrugated Fill'!$C$12))-32)/1.8+243.04))))*(1061+0.444*((C82+0.6*'Cooling Tower &amp; Corrugated Fill'!$C$12))))-('Merkel Solver'!$C$4+'Cooling Tower &amp; Corrugated Fill'!$C$13*0.6*'Cooling Tower &amp; Corrugated Fill'!$C$12)</f>
        <v/>
      </c>
      <c r="G82" s="14">
        <f>(0.24*((C82+0.9*'Cooling Tower &amp; Corrugated Fill'!$C$12))+0.62198*(0.61094*EXP(17.625*(((C82+0.9*'Cooling Tower &amp; Corrugated Fill'!$C$12))-32)/1.8/((((C82+0.9*'Cooling Tower &amp; Corrugated Fill'!$C$12))-32)/1.8+243.04)))/('Cooling Tower &amp; Corrugated Fill'!$C$14-(0.61094*EXP(17.625*(((C82+0.9*'Cooling Tower &amp; Corrugated Fill'!$C$12))-32)/1.8/((((C82+0.9*'Cooling Tower &amp; Corrugated Fill'!$C$12))-32)/1.8+243.04))))*(1061+0.444*((C82+0.9*'Cooling Tower &amp; Corrugated Fill'!$C$12))))-('Merkel Solver'!$C$4+'Cooling Tower &amp; Corrugated Fill'!$C$13*0.9*'Cooling Tower &amp; Corrugated Fill'!$C$12)</f>
        <v/>
      </c>
      <c r="H82" s="22">
        <f>IF(MIN(D82:G82)&lt;=0,99999,'Cooling Tower &amp; Corrugated Fill'!$C$12/4*(1/D82+1/E82+1/F82+1/G82))</f>
        <v/>
      </c>
    </row>
    <row r="83">
      <c r="B83" s="30" t="n">
        <v>7.7</v>
      </c>
      <c r="C83" s="12">
        <f>'Dashboard'!$C$9+B83</f>
        <v/>
      </c>
      <c r="D83" s="14">
        <f>(0.24*((C83+0.1*'Cooling Tower &amp; Corrugated Fill'!$C$12))+0.62198*(0.61094*EXP(17.625*(((C83+0.1*'Cooling Tower &amp; Corrugated Fill'!$C$12))-32)/1.8/((((C83+0.1*'Cooling Tower &amp; Corrugated Fill'!$C$12))-32)/1.8+243.04)))/('Cooling Tower &amp; Corrugated Fill'!$C$14-(0.61094*EXP(17.625*(((C83+0.1*'Cooling Tower &amp; Corrugated Fill'!$C$12))-32)/1.8/((((C83+0.1*'Cooling Tower &amp; Corrugated Fill'!$C$12))-32)/1.8+243.04))))*(1061+0.444*((C83+0.1*'Cooling Tower &amp; Corrugated Fill'!$C$12))))-('Merkel Solver'!$C$4+'Cooling Tower &amp; Corrugated Fill'!$C$13*0.1*'Cooling Tower &amp; Corrugated Fill'!$C$12)</f>
        <v/>
      </c>
      <c r="E83" s="14">
        <f>(0.24*((C83+0.4*'Cooling Tower &amp; Corrugated Fill'!$C$12))+0.62198*(0.61094*EXP(17.625*(((C83+0.4*'Cooling Tower &amp; Corrugated Fill'!$C$12))-32)/1.8/((((C83+0.4*'Cooling Tower &amp; Corrugated Fill'!$C$12))-32)/1.8+243.04)))/('Cooling Tower &amp; Corrugated Fill'!$C$14-(0.61094*EXP(17.625*(((C83+0.4*'Cooling Tower &amp; Corrugated Fill'!$C$12))-32)/1.8/((((C83+0.4*'Cooling Tower &amp; Corrugated Fill'!$C$12))-32)/1.8+243.04))))*(1061+0.444*((C83+0.4*'Cooling Tower &amp; Corrugated Fill'!$C$12))))-('Merkel Solver'!$C$4+'Cooling Tower &amp; Corrugated Fill'!$C$13*0.4*'Cooling Tower &amp; Corrugated Fill'!$C$12)</f>
        <v/>
      </c>
      <c r="F83" s="14">
        <f>(0.24*((C83+0.6*'Cooling Tower &amp; Corrugated Fill'!$C$12))+0.62198*(0.61094*EXP(17.625*(((C83+0.6*'Cooling Tower &amp; Corrugated Fill'!$C$12))-32)/1.8/((((C83+0.6*'Cooling Tower &amp; Corrugated Fill'!$C$12))-32)/1.8+243.04)))/('Cooling Tower &amp; Corrugated Fill'!$C$14-(0.61094*EXP(17.625*(((C83+0.6*'Cooling Tower &amp; Corrugated Fill'!$C$12))-32)/1.8/((((C83+0.6*'Cooling Tower &amp; Corrugated Fill'!$C$12))-32)/1.8+243.04))))*(1061+0.444*((C83+0.6*'Cooling Tower &amp; Corrugated Fill'!$C$12))))-('Merkel Solver'!$C$4+'Cooling Tower &amp; Corrugated Fill'!$C$13*0.6*'Cooling Tower &amp; Corrugated Fill'!$C$12)</f>
        <v/>
      </c>
      <c r="G83" s="14">
        <f>(0.24*((C83+0.9*'Cooling Tower &amp; Corrugated Fill'!$C$12))+0.62198*(0.61094*EXP(17.625*(((C83+0.9*'Cooling Tower &amp; Corrugated Fill'!$C$12))-32)/1.8/((((C83+0.9*'Cooling Tower &amp; Corrugated Fill'!$C$12))-32)/1.8+243.04)))/('Cooling Tower &amp; Corrugated Fill'!$C$14-(0.61094*EXP(17.625*(((C83+0.9*'Cooling Tower &amp; Corrugated Fill'!$C$12))-32)/1.8/((((C83+0.9*'Cooling Tower &amp; Corrugated Fill'!$C$12))-32)/1.8+243.04))))*(1061+0.444*((C83+0.9*'Cooling Tower &amp; Corrugated Fill'!$C$12))))-('Merkel Solver'!$C$4+'Cooling Tower &amp; Corrugated Fill'!$C$13*0.9*'Cooling Tower &amp; Corrugated Fill'!$C$12)</f>
        <v/>
      </c>
      <c r="H83" s="22">
        <f>IF(MIN(D83:G83)&lt;=0,99999,'Cooling Tower &amp; Corrugated Fill'!$C$12/4*(1/D83+1/E83+1/F83+1/G83))</f>
        <v/>
      </c>
    </row>
    <row r="84">
      <c r="B84" s="30" t="n">
        <v>7.8</v>
      </c>
      <c r="C84" s="12">
        <f>'Dashboard'!$C$9+B84</f>
        <v/>
      </c>
      <c r="D84" s="14">
        <f>(0.24*((C84+0.1*'Cooling Tower &amp; Corrugated Fill'!$C$12))+0.62198*(0.61094*EXP(17.625*(((C84+0.1*'Cooling Tower &amp; Corrugated Fill'!$C$12))-32)/1.8/((((C84+0.1*'Cooling Tower &amp; Corrugated Fill'!$C$12))-32)/1.8+243.04)))/('Cooling Tower &amp; Corrugated Fill'!$C$14-(0.61094*EXP(17.625*(((C84+0.1*'Cooling Tower &amp; Corrugated Fill'!$C$12))-32)/1.8/((((C84+0.1*'Cooling Tower &amp; Corrugated Fill'!$C$12))-32)/1.8+243.04))))*(1061+0.444*((C84+0.1*'Cooling Tower &amp; Corrugated Fill'!$C$12))))-('Merkel Solver'!$C$4+'Cooling Tower &amp; Corrugated Fill'!$C$13*0.1*'Cooling Tower &amp; Corrugated Fill'!$C$12)</f>
        <v/>
      </c>
      <c r="E84" s="14">
        <f>(0.24*((C84+0.4*'Cooling Tower &amp; Corrugated Fill'!$C$12))+0.62198*(0.61094*EXP(17.625*(((C84+0.4*'Cooling Tower &amp; Corrugated Fill'!$C$12))-32)/1.8/((((C84+0.4*'Cooling Tower &amp; Corrugated Fill'!$C$12))-32)/1.8+243.04)))/('Cooling Tower &amp; Corrugated Fill'!$C$14-(0.61094*EXP(17.625*(((C84+0.4*'Cooling Tower &amp; Corrugated Fill'!$C$12))-32)/1.8/((((C84+0.4*'Cooling Tower &amp; Corrugated Fill'!$C$12))-32)/1.8+243.04))))*(1061+0.444*((C84+0.4*'Cooling Tower &amp; Corrugated Fill'!$C$12))))-('Merkel Solver'!$C$4+'Cooling Tower &amp; Corrugated Fill'!$C$13*0.4*'Cooling Tower &amp; Corrugated Fill'!$C$12)</f>
        <v/>
      </c>
      <c r="F84" s="14">
        <f>(0.24*((C84+0.6*'Cooling Tower &amp; Corrugated Fill'!$C$12))+0.62198*(0.61094*EXP(17.625*(((C84+0.6*'Cooling Tower &amp; Corrugated Fill'!$C$12))-32)/1.8/((((C84+0.6*'Cooling Tower &amp; Corrugated Fill'!$C$12))-32)/1.8+243.04)))/('Cooling Tower &amp; Corrugated Fill'!$C$14-(0.61094*EXP(17.625*(((C84+0.6*'Cooling Tower &amp; Corrugated Fill'!$C$12))-32)/1.8/((((C84+0.6*'Cooling Tower &amp; Corrugated Fill'!$C$12))-32)/1.8+243.04))))*(1061+0.444*((C84+0.6*'Cooling Tower &amp; Corrugated Fill'!$C$12))))-('Merkel Solver'!$C$4+'Cooling Tower &amp; Corrugated Fill'!$C$13*0.6*'Cooling Tower &amp; Corrugated Fill'!$C$12)</f>
        <v/>
      </c>
      <c r="G84" s="14">
        <f>(0.24*((C84+0.9*'Cooling Tower &amp; Corrugated Fill'!$C$12))+0.62198*(0.61094*EXP(17.625*(((C84+0.9*'Cooling Tower &amp; Corrugated Fill'!$C$12))-32)/1.8/((((C84+0.9*'Cooling Tower &amp; Corrugated Fill'!$C$12))-32)/1.8+243.04)))/('Cooling Tower &amp; Corrugated Fill'!$C$14-(0.61094*EXP(17.625*(((C84+0.9*'Cooling Tower &amp; Corrugated Fill'!$C$12))-32)/1.8/((((C84+0.9*'Cooling Tower &amp; Corrugated Fill'!$C$12))-32)/1.8+243.04))))*(1061+0.444*((C84+0.9*'Cooling Tower &amp; Corrugated Fill'!$C$12))))-('Merkel Solver'!$C$4+'Cooling Tower &amp; Corrugated Fill'!$C$13*0.9*'Cooling Tower &amp; Corrugated Fill'!$C$12)</f>
        <v/>
      </c>
      <c r="H84" s="22">
        <f>IF(MIN(D84:G84)&lt;=0,99999,'Cooling Tower &amp; Corrugated Fill'!$C$12/4*(1/D84+1/E84+1/F84+1/G84))</f>
        <v/>
      </c>
    </row>
    <row r="85">
      <c r="B85" s="30" t="n">
        <v>7.9</v>
      </c>
      <c r="C85" s="12">
        <f>'Dashboard'!$C$9+B85</f>
        <v/>
      </c>
      <c r="D85" s="14">
        <f>(0.24*((C85+0.1*'Cooling Tower &amp; Corrugated Fill'!$C$12))+0.62198*(0.61094*EXP(17.625*(((C85+0.1*'Cooling Tower &amp; Corrugated Fill'!$C$12))-32)/1.8/((((C85+0.1*'Cooling Tower &amp; Corrugated Fill'!$C$12))-32)/1.8+243.04)))/('Cooling Tower &amp; Corrugated Fill'!$C$14-(0.61094*EXP(17.625*(((C85+0.1*'Cooling Tower &amp; Corrugated Fill'!$C$12))-32)/1.8/((((C85+0.1*'Cooling Tower &amp; Corrugated Fill'!$C$12))-32)/1.8+243.04))))*(1061+0.444*((C85+0.1*'Cooling Tower &amp; Corrugated Fill'!$C$12))))-('Merkel Solver'!$C$4+'Cooling Tower &amp; Corrugated Fill'!$C$13*0.1*'Cooling Tower &amp; Corrugated Fill'!$C$12)</f>
        <v/>
      </c>
      <c r="E85" s="14">
        <f>(0.24*((C85+0.4*'Cooling Tower &amp; Corrugated Fill'!$C$12))+0.62198*(0.61094*EXP(17.625*(((C85+0.4*'Cooling Tower &amp; Corrugated Fill'!$C$12))-32)/1.8/((((C85+0.4*'Cooling Tower &amp; Corrugated Fill'!$C$12))-32)/1.8+243.04)))/('Cooling Tower &amp; Corrugated Fill'!$C$14-(0.61094*EXP(17.625*(((C85+0.4*'Cooling Tower &amp; Corrugated Fill'!$C$12))-32)/1.8/((((C85+0.4*'Cooling Tower &amp; Corrugated Fill'!$C$12))-32)/1.8+243.04))))*(1061+0.444*((C85+0.4*'Cooling Tower &amp; Corrugated Fill'!$C$12))))-('Merkel Solver'!$C$4+'Cooling Tower &amp; Corrugated Fill'!$C$13*0.4*'Cooling Tower &amp; Corrugated Fill'!$C$12)</f>
        <v/>
      </c>
      <c r="F85" s="14">
        <f>(0.24*((C85+0.6*'Cooling Tower &amp; Corrugated Fill'!$C$12))+0.62198*(0.61094*EXP(17.625*(((C85+0.6*'Cooling Tower &amp; Corrugated Fill'!$C$12))-32)/1.8/((((C85+0.6*'Cooling Tower &amp; Corrugated Fill'!$C$12))-32)/1.8+243.04)))/('Cooling Tower &amp; Corrugated Fill'!$C$14-(0.61094*EXP(17.625*(((C85+0.6*'Cooling Tower &amp; Corrugated Fill'!$C$12))-32)/1.8/((((C85+0.6*'Cooling Tower &amp; Corrugated Fill'!$C$12))-32)/1.8+243.04))))*(1061+0.444*((C85+0.6*'Cooling Tower &amp; Corrugated Fill'!$C$12))))-('Merkel Solver'!$C$4+'Cooling Tower &amp; Corrugated Fill'!$C$13*0.6*'Cooling Tower &amp; Corrugated Fill'!$C$12)</f>
        <v/>
      </c>
      <c r="G85" s="14">
        <f>(0.24*((C85+0.9*'Cooling Tower &amp; Corrugated Fill'!$C$12))+0.62198*(0.61094*EXP(17.625*(((C85+0.9*'Cooling Tower &amp; Corrugated Fill'!$C$12))-32)/1.8/((((C85+0.9*'Cooling Tower &amp; Corrugated Fill'!$C$12))-32)/1.8+243.04)))/('Cooling Tower &amp; Corrugated Fill'!$C$14-(0.61094*EXP(17.625*(((C85+0.9*'Cooling Tower &amp; Corrugated Fill'!$C$12))-32)/1.8/((((C85+0.9*'Cooling Tower &amp; Corrugated Fill'!$C$12))-32)/1.8+243.04))))*(1061+0.444*((C85+0.9*'Cooling Tower &amp; Corrugated Fill'!$C$12))))-('Merkel Solver'!$C$4+'Cooling Tower &amp; Corrugated Fill'!$C$13*0.9*'Cooling Tower &amp; Corrugated Fill'!$C$12)</f>
        <v/>
      </c>
      <c r="H85" s="22">
        <f>IF(MIN(D85:G85)&lt;=0,99999,'Cooling Tower &amp; Corrugated Fill'!$C$12/4*(1/D85+1/E85+1/F85+1/G85))</f>
        <v/>
      </c>
    </row>
    <row r="86">
      <c r="B86" s="30" t="n">
        <v>8</v>
      </c>
      <c r="C86" s="12">
        <f>'Dashboard'!$C$9+B86</f>
        <v/>
      </c>
      <c r="D86" s="14">
        <f>(0.24*((C86+0.1*'Cooling Tower &amp; Corrugated Fill'!$C$12))+0.62198*(0.61094*EXP(17.625*(((C86+0.1*'Cooling Tower &amp; Corrugated Fill'!$C$12))-32)/1.8/((((C86+0.1*'Cooling Tower &amp; Corrugated Fill'!$C$12))-32)/1.8+243.04)))/('Cooling Tower &amp; Corrugated Fill'!$C$14-(0.61094*EXP(17.625*(((C86+0.1*'Cooling Tower &amp; Corrugated Fill'!$C$12))-32)/1.8/((((C86+0.1*'Cooling Tower &amp; Corrugated Fill'!$C$12))-32)/1.8+243.04))))*(1061+0.444*((C86+0.1*'Cooling Tower &amp; Corrugated Fill'!$C$12))))-('Merkel Solver'!$C$4+'Cooling Tower &amp; Corrugated Fill'!$C$13*0.1*'Cooling Tower &amp; Corrugated Fill'!$C$12)</f>
        <v/>
      </c>
      <c r="E86" s="14">
        <f>(0.24*((C86+0.4*'Cooling Tower &amp; Corrugated Fill'!$C$12))+0.62198*(0.61094*EXP(17.625*(((C86+0.4*'Cooling Tower &amp; Corrugated Fill'!$C$12))-32)/1.8/((((C86+0.4*'Cooling Tower &amp; Corrugated Fill'!$C$12))-32)/1.8+243.04)))/('Cooling Tower &amp; Corrugated Fill'!$C$14-(0.61094*EXP(17.625*(((C86+0.4*'Cooling Tower &amp; Corrugated Fill'!$C$12))-32)/1.8/((((C86+0.4*'Cooling Tower &amp; Corrugated Fill'!$C$12))-32)/1.8+243.04))))*(1061+0.444*((C86+0.4*'Cooling Tower &amp; Corrugated Fill'!$C$12))))-('Merkel Solver'!$C$4+'Cooling Tower &amp; Corrugated Fill'!$C$13*0.4*'Cooling Tower &amp; Corrugated Fill'!$C$12)</f>
        <v/>
      </c>
      <c r="F86" s="14">
        <f>(0.24*((C86+0.6*'Cooling Tower &amp; Corrugated Fill'!$C$12))+0.62198*(0.61094*EXP(17.625*(((C86+0.6*'Cooling Tower &amp; Corrugated Fill'!$C$12))-32)/1.8/((((C86+0.6*'Cooling Tower &amp; Corrugated Fill'!$C$12))-32)/1.8+243.04)))/('Cooling Tower &amp; Corrugated Fill'!$C$14-(0.61094*EXP(17.625*(((C86+0.6*'Cooling Tower &amp; Corrugated Fill'!$C$12))-32)/1.8/((((C86+0.6*'Cooling Tower &amp; Corrugated Fill'!$C$12))-32)/1.8+243.04))))*(1061+0.444*((C86+0.6*'Cooling Tower &amp; Corrugated Fill'!$C$12))))-('Merkel Solver'!$C$4+'Cooling Tower &amp; Corrugated Fill'!$C$13*0.6*'Cooling Tower &amp; Corrugated Fill'!$C$12)</f>
        <v/>
      </c>
      <c r="G86" s="14">
        <f>(0.24*((C86+0.9*'Cooling Tower &amp; Corrugated Fill'!$C$12))+0.62198*(0.61094*EXP(17.625*(((C86+0.9*'Cooling Tower &amp; Corrugated Fill'!$C$12))-32)/1.8/((((C86+0.9*'Cooling Tower &amp; Corrugated Fill'!$C$12))-32)/1.8+243.04)))/('Cooling Tower &amp; Corrugated Fill'!$C$14-(0.61094*EXP(17.625*(((C86+0.9*'Cooling Tower &amp; Corrugated Fill'!$C$12))-32)/1.8/((((C86+0.9*'Cooling Tower &amp; Corrugated Fill'!$C$12))-32)/1.8+243.04))))*(1061+0.444*((C86+0.9*'Cooling Tower &amp; Corrugated Fill'!$C$12))))-('Merkel Solver'!$C$4+'Cooling Tower &amp; Corrugated Fill'!$C$13*0.9*'Cooling Tower &amp; Corrugated Fill'!$C$12)</f>
        <v/>
      </c>
      <c r="H86" s="22">
        <f>IF(MIN(D86:G86)&lt;=0,99999,'Cooling Tower &amp; Corrugated Fill'!$C$12/4*(1/D86+1/E86+1/F86+1/G86))</f>
        <v/>
      </c>
    </row>
    <row r="87">
      <c r="B87" s="30" t="n">
        <v>8.1</v>
      </c>
      <c r="C87" s="12">
        <f>'Dashboard'!$C$9+B87</f>
        <v/>
      </c>
      <c r="D87" s="14">
        <f>(0.24*((C87+0.1*'Cooling Tower &amp; Corrugated Fill'!$C$12))+0.62198*(0.61094*EXP(17.625*(((C87+0.1*'Cooling Tower &amp; Corrugated Fill'!$C$12))-32)/1.8/((((C87+0.1*'Cooling Tower &amp; Corrugated Fill'!$C$12))-32)/1.8+243.04)))/('Cooling Tower &amp; Corrugated Fill'!$C$14-(0.61094*EXP(17.625*(((C87+0.1*'Cooling Tower &amp; Corrugated Fill'!$C$12))-32)/1.8/((((C87+0.1*'Cooling Tower &amp; Corrugated Fill'!$C$12))-32)/1.8+243.04))))*(1061+0.444*((C87+0.1*'Cooling Tower &amp; Corrugated Fill'!$C$12))))-('Merkel Solver'!$C$4+'Cooling Tower &amp; Corrugated Fill'!$C$13*0.1*'Cooling Tower &amp; Corrugated Fill'!$C$12)</f>
        <v/>
      </c>
      <c r="E87" s="14">
        <f>(0.24*((C87+0.4*'Cooling Tower &amp; Corrugated Fill'!$C$12))+0.62198*(0.61094*EXP(17.625*(((C87+0.4*'Cooling Tower &amp; Corrugated Fill'!$C$12))-32)/1.8/((((C87+0.4*'Cooling Tower &amp; Corrugated Fill'!$C$12))-32)/1.8+243.04)))/('Cooling Tower &amp; Corrugated Fill'!$C$14-(0.61094*EXP(17.625*(((C87+0.4*'Cooling Tower &amp; Corrugated Fill'!$C$12))-32)/1.8/((((C87+0.4*'Cooling Tower &amp; Corrugated Fill'!$C$12))-32)/1.8+243.04))))*(1061+0.444*((C87+0.4*'Cooling Tower &amp; Corrugated Fill'!$C$12))))-('Merkel Solver'!$C$4+'Cooling Tower &amp; Corrugated Fill'!$C$13*0.4*'Cooling Tower &amp; Corrugated Fill'!$C$12)</f>
        <v/>
      </c>
      <c r="F87" s="14">
        <f>(0.24*((C87+0.6*'Cooling Tower &amp; Corrugated Fill'!$C$12))+0.62198*(0.61094*EXP(17.625*(((C87+0.6*'Cooling Tower &amp; Corrugated Fill'!$C$12))-32)/1.8/((((C87+0.6*'Cooling Tower &amp; Corrugated Fill'!$C$12))-32)/1.8+243.04)))/('Cooling Tower &amp; Corrugated Fill'!$C$14-(0.61094*EXP(17.625*(((C87+0.6*'Cooling Tower &amp; Corrugated Fill'!$C$12))-32)/1.8/((((C87+0.6*'Cooling Tower &amp; Corrugated Fill'!$C$12))-32)/1.8+243.04))))*(1061+0.444*((C87+0.6*'Cooling Tower &amp; Corrugated Fill'!$C$12))))-('Merkel Solver'!$C$4+'Cooling Tower &amp; Corrugated Fill'!$C$13*0.6*'Cooling Tower &amp; Corrugated Fill'!$C$12)</f>
        <v/>
      </c>
      <c r="G87" s="14">
        <f>(0.24*((C87+0.9*'Cooling Tower &amp; Corrugated Fill'!$C$12))+0.62198*(0.61094*EXP(17.625*(((C87+0.9*'Cooling Tower &amp; Corrugated Fill'!$C$12))-32)/1.8/((((C87+0.9*'Cooling Tower &amp; Corrugated Fill'!$C$12))-32)/1.8+243.04)))/('Cooling Tower &amp; Corrugated Fill'!$C$14-(0.61094*EXP(17.625*(((C87+0.9*'Cooling Tower &amp; Corrugated Fill'!$C$12))-32)/1.8/((((C87+0.9*'Cooling Tower &amp; Corrugated Fill'!$C$12))-32)/1.8+243.04))))*(1061+0.444*((C87+0.9*'Cooling Tower &amp; Corrugated Fill'!$C$12))))-('Merkel Solver'!$C$4+'Cooling Tower &amp; Corrugated Fill'!$C$13*0.9*'Cooling Tower &amp; Corrugated Fill'!$C$12)</f>
        <v/>
      </c>
      <c r="H87" s="22">
        <f>IF(MIN(D87:G87)&lt;=0,99999,'Cooling Tower &amp; Corrugated Fill'!$C$12/4*(1/D87+1/E87+1/F87+1/G87))</f>
        <v/>
      </c>
    </row>
    <row r="88">
      <c r="B88" s="30" t="n">
        <v>8.199999999999999</v>
      </c>
      <c r="C88" s="12">
        <f>'Dashboard'!$C$9+B88</f>
        <v/>
      </c>
      <c r="D88" s="14">
        <f>(0.24*((C88+0.1*'Cooling Tower &amp; Corrugated Fill'!$C$12))+0.62198*(0.61094*EXP(17.625*(((C88+0.1*'Cooling Tower &amp; Corrugated Fill'!$C$12))-32)/1.8/((((C88+0.1*'Cooling Tower &amp; Corrugated Fill'!$C$12))-32)/1.8+243.04)))/('Cooling Tower &amp; Corrugated Fill'!$C$14-(0.61094*EXP(17.625*(((C88+0.1*'Cooling Tower &amp; Corrugated Fill'!$C$12))-32)/1.8/((((C88+0.1*'Cooling Tower &amp; Corrugated Fill'!$C$12))-32)/1.8+243.04))))*(1061+0.444*((C88+0.1*'Cooling Tower &amp; Corrugated Fill'!$C$12))))-('Merkel Solver'!$C$4+'Cooling Tower &amp; Corrugated Fill'!$C$13*0.1*'Cooling Tower &amp; Corrugated Fill'!$C$12)</f>
        <v/>
      </c>
      <c r="E88" s="14">
        <f>(0.24*((C88+0.4*'Cooling Tower &amp; Corrugated Fill'!$C$12))+0.62198*(0.61094*EXP(17.625*(((C88+0.4*'Cooling Tower &amp; Corrugated Fill'!$C$12))-32)/1.8/((((C88+0.4*'Cooling Tower &amp; Corrugated Fill'!$C$12))-32)/1.8+243.04)))/('Cooling Tower &amp; Corrugated Fill'!$C$14-(0.61094*EXP(17.625*(((C88+0.4*'Cooling Tower &amp; Corrugated Fill'!$C$12))-32)/1.8/((((C88+0.4*'Cooling Tower &amp; Corrugated Fill'!$C$12))-32)/1.8+243.04))))*(1061+0.444*((C88+0.4*'Cooling Tower &amp; Corrugated Fill'!$C$12))))-('Merkel Solver'!$C$4+'Cooling Tower &amp; Corrugated Fill'!$C$13*0.4*'Cooling Tower &amp; Corrugated Fill'!$C$12)</f>
        <v/>
      </c>
      <c r="F88" s="14">
        <f>(0.24*((C88+0.6*'Cooling Tower &amp; Corrugated Fill'!$C$12))+0.62198*(0.61094*EXP(17.625*(((C88+0.6*'Cooling Tower &amp; Corrugated Fill'!$C$12))-32)/1.8/((((C88+0.6*'Cooling Tower &amp; Corrugated Fill'!$C$12))-32)/1.8+243.04)))/('Cooling Tower &amp; Corrugated Fill'!$C$14-(0.61094*EXP(17.625*(((C88+0.6*'Cooling Tower &amp; Corrugated Fill'!$C$12))-32)/1.8/((((C88+0.6*'Cooling Tower &amp; Corrugated Fill'!$C$12))-32)/1.8+243.04))))*(1061+0.444*((C88+0.6*'Cooling Tower &amp; Corrugated Fill'!$C$12))))-('Merkel Solver'!$C$4+'Cooling Tower &amp; Corrugated Fill'!$C$13*0.6*'Cooling Tower &amp; Corrugated Fill'!$C$12)</f>
        <v/>
      </c>
      <c r="G88" s="14">
        <f>(0.24*((C88+0.9*'Cooling Tower &amp; Corrugated Fill'!$C$12))+0.62198*(0.61094*EXP(17.625*(((C88+0.9*'Cooling Tower &amp; Corrugated Fill'!$C$12))-32)/1.8/((((C88+0.9*'Cooling Tower &amp; Corrugated Fill'!$C$12))-32)/1.8+243.04)))/('Cooling Tower &amp; Corrugated Fill'!$C$14-(0.61094*EXP(17.625*(((C88+0.9*'Cooling Tower &amp; Corrugated Fill'!$C$12))-32)/1.8/((((C88+0.9*'Cooling Tower &amp; Corrugated Fill'!$C$12))-32)/1.8+243.04))))*(1061+0.444*((C88+0.9*'Cooling Tower &amp; Corrugated Fill'!$C$12))))-('Merkel Solver'!$C$4+'Cooling Tower &amp; Corrugated Fill'!$C$13*0.9*'Cooling Tower &amp; Corrugated Fill'!$C$12)</f>
        <v/>
      </c>
      <c r="H88" s="22">
        <f>IF(MIN(D88:G88)&lt;=0,99999,'Cooling Tower &amp; Corrugated Fill'!$C$12/4*(1/D88+1/E88+1/F88+1/G88))</f>
        <v/>
      </c>
    </row>
    <row r="89">
      <c r="B89" s="30" t="n">
        <v>8.300000000000001</v>
      </c>
      <c r="C89" s="12">
        <f>'Dashboard'!$C$9+B89</f>
        <v/>
      </c>
      <c r="D89" s="14">
        <f>(0.24*((C89+0.1*'Cooling Tower &amp; Corrugated Fill'!$C$12))+0.62198*(0.61094*EXP(17.625*(((C89+0.1*'Cooling Tower &amp; Corrugated Fill'!$C$12))-32)/1.8/((((C89+0.1*'Cooling Tower &amp; Corrugated Fill'!$C$12))-32)/1.8+243.04)))/('Cooling Tower &amp; Corrugated Fill'!$C$14-(0.61094*EXP(17.625*(((C89+0.1*'Cooling Tower &amp; Corrugated Fill'!$C$12))-32)/1.8/((((C89+0.1*'Cooling Tower &amp; Corrugated Fill'!$C$12))-32)/1.8+243.04))))*(1061+0.444*((C89+0.1*'Cooling Tower &amp; Corrugated Fill'!$C$12))))-('Merkel Solver'!$C$4+'Cooling Tower &amp; Corrugated Fill'!$C$13*0.1*'Cooling Tower &amp; Corrugated Fill'!$C$12)</f>
        <v/>
      </c>
      <c r="E89" s="14">
        <f>(0.24*((C89+0.4*'Cooling Tower &amp; Corrugated Fill'!$C$12))+0.62198*(0.61094*EXP(17.625*(((C89+0.4*'Cooling Tower &amp; Corrugated Fill'!$C$12))-32)/1.8/((((C89+0.4*'Cooling Tower &amp; Corrugated Fill'!$C$12))-32)/1.8+243.04)))/('Cooling Tower &amp; Corrugated Fill'!$C$14-(0.61094*EXP(17.625*(((C89+0.4*'Cooling Tower &amp; Corrugated Fill'!$C$12))-32)/1.8/((((C89+0.4*'Cooling Tower &amp; Corrugated Fill'!$C$12))-32)/1.8+243.04))))*(1061+0.444*((C89+0.4*'Cooling Tower &amp; Corrugated Fill'!$C$12))))-('Merkel Solver'!$C$4+'Cooling Tower &amp; Corrugated Fill'!$C$13*0.4*'Cooling Tower &amp; Corrugated Fill'!$C$12)</f>
        <v/>
      </c>
      <c r="F89" s="14">
        <f>(0.24*((C89+0.6*'Cooling Tower &amp; Corrugated Fill'!$C$12))+0.62198*(0.61094*EXP(17.625*(((C89+0.6*'Cooling Tower &amp; Corrugated Fill'!$C$12))-32)/1.8/((((C89+0.6*'Cooling Tower &amp; Corrugated Fill'!$C$12))-32)/1.8+243.04)))/('Cooling Tower &amp; Corrugated Fill'!$C$14-(0.61094*EXP(17.625*(((C89+0.6*'Cooling Tower &amp; Corrugated Fill'!$C$12))-32)/1.8/((((C89+0.6*'Cooling Tower &amp; Corrugated Fill'!$C$12))-32)/1.8+243.04))))*(1061+0.444*((C89+0.6*'Cooling Tower &amp; Corrugated Fill'!$C$12))))-('Merkel Solver'!$C$4+'Cooling Tower &amp; Corrugated Fill'!$C$13*0.6*'Cooling Tower &amp; Corrugated Fill'!$C$12)</f>
        <v/>
      </c>
      <c r="G89" s="14">
        <f>(0.24*((C89+0.9*'Cooling Tower &amp; Corrugated Fill'!$C$12))+0.62198*(0.61094*EXP(17.625*(((C89+0.9*'Cooling Tower &amp; Corrugated Fill'!$C$12))-32)/1.8/((((C89+0.9*'Cooling Tower &amp; Corrugated Fill'!$C$12))-32)/1.8+243.04)))/('Cooling Tower &amp; Corrugated Fill'!$C$14-(0.61094*EXP(17.625*(((C89+0.9*'Cooling Tower &amp; Corrugated Fill'!$C$12))-32)/1.8/((((C89+0.9*'Cooling Tower &amp; Corrugated Fill'!$C$12))-32)/1.8+243.04))))*(1061+0.444*((C89+0.9*'Cooling Tower &amp; Corrugated Fill'!$C$12))))-('Merkel Solver'!$C$4+'Cooling Tower &amp; Corrugated Fill'!$C$13*0.9*'Cooling Tower &amp; Corrugated Fill'!$C$12)</f>
        <v/>
      </c>
      <c r="H89" s="22">
        <f>IF(MIN(D89:G89)&lt;=0,99999,'Cooling Tower &amp; Corrugated Fill'!$C$12/4*(1/D89+1/E89+1/F89+1/G89))</f>
        <v/>
      </c>
    </row>
    <row r="90">
      <c r="B90" s="30" t="n">
        <v>8.4</v>
      </c>
      <c r="C90" s="12">
        <f>'Dashboard'!$C$9+B90</f>
        <v/>
      </c>
      <c r="D90" s="14">
        <f>(0.24*((C90+0.1*'Cooling Tower &amp; Corrugated Fill'!$C$12))+0.62198*(0.61094*EXP(17.625*(((C90+0.1*'Cooling Tower &amp; Corrugated Fill'!$C$12))-32)/1.8/((((C90+0.1*'Cooling Tower &amp; Corrugated Fill'!$C$12))-32)/1.8+243.04)))/('Cooling Tower &amp; Corrugated Fill'!$C$14-(0.61094*EXP(17.625*(((C90+0.1*'Cooling Tower &amp; Corrugated Fill'!$C$12))-32)/1.8/((((C90+0.1*'Cooling Tower &amp; Corrugated Fill'!$C$12))-32)/1.8+243.04))))*(1061+0.444*((C90+0.1*'Cooling Tower &amp; Corrugated Fill'!$C$12))))-('Merkel Solver'!$C$4+'Cooling Tower &amp; Corrugated Fill'!$C$13*0.1*'Cooling Tower &amp; Corrugated Fill'!$C$12)</f>
        <v/>
      </c>
      <c r="E90" s="14">
        <f>(0.24*((C90+0.4*'Cooling Tower &amp; Corrugated Fill'!$C$12))+0.62198*(0.61094*EXP(17.625*(((C90+0.4*'Cooling Tower &amp; Corrugated Fill'!$C$12))-32)/1.8/((((C90+0.4*'Cooling Tower &amp; Corrugated Fill'!$C$12))-32)/1.8+243.04)))/('Cooling Tower &amp; Corrugated Fill'!$C$14-(0.61094*EXP(17.625*(((C90+0.4*'Cooling Tower &amp; Corrugated Fill'!$C$12))-32)/1.8/((((C90+0.4*'Cooling Tower &amp; Corrugated Fill'!$C$12))-32)/1.8+243.04))))*(1061+0.444*((C90+0.4*'Cooling Tower &amp; Corrugated Fill'!$C$12))))-('Merkel Solver'!$C$4+'Cooling Tower &amp; Corrugated Fill'!$C$13*0.4*'Cooling Tower &amp; Corrugated Fill'!$C$12)</f>
        <v/>
      </c>
      <c r="F90" s="14">
        <f>(0.24*((C90+0.6*'Cooling Tower &amp; Corrugated Fill'!$C$12))+0.62198*(0.61094*EXP(17.625*(((C90+0.6*'Cooling Tower &amp; Corrugated Fill'!$C$12))-32)/1.8/((((C90+0.6*'Cooling Tower &amp; Corrugated Fill'!$C$12))-32)/1.8+243.04)))/('Cooling Tower &amp; Corrugated Fill'!$C$14-(0.61094*EXP(17.625*(((C90+0.6*'Cooling Tower &amp; Corrugated Fill'!$C$12))-32)/1.8/((((C90+0.6*'Cooling Tower &amp; Corrugated Fill'!$C$12))-32)/1.8+243.04))))*(1061+0.444*((C90+0.6*'Cooling Tower &amp; Corrugated Fill'!$C$12))))-('Merkel Solver'!$C$4+'Cooling Tower &amp; Corrugated Fill'!$C$13*0.6*'Cooling Tower &amp; Corrugated Fill'!$C$12)</f>
        <v/>
      </c>
      <c r="G90" s="14">
        <f>(0.24*((C90+0.9*'Cooling Tower &amp; Corrugated Fill'!$C$12))+0.62198*(0.61094*EXP(17.625*(((C90+0.9*'Cooling Tower &amp; Corrugated Fill'!$C$12))-32)/1.8/((((C90+0.9*'Cooling Tower &amp; Corrugated Fill'!$C$12))-32)/1.8+243.04)))/('Cooling Tower &amp; Corrugated Fill'!$C$14-(0.61094*EXP(17.625*(((C90+0.9*'Cooling Tower &amp; Corrugated Fill'!$C$12))-32)/1.8/((((C90+0.9*'Cooling Tower &amp; Corrugated Fill'!$C$12))-32)/1.8+243.04))))*(1061+0.444*((C90+0.9*'Cooling Tower &amp; Corrugated Fill'!$C$12))))-('Merkel Solver'!$C$4+'Cooling Tower &amp; Corrugated Fill'!$C$13*0.9*'Cooling Tower &amp; Corrugated Fill'!$C$12)</f>
        <v/>
      </c>
      <c r="H90" s="22">
        <f>IF(MIN(D90:G90)&lt;=0,99999,'Cooling Tower &amp; Corrugated Fill'!$C$12/4*(1/D90+1/E90+1/F90+1/G90))</f>
        <v/>
      </c>
    </row>
    <row r="91">
      <c r="B91" s="30" t="n">
        <v>8.5</v>
      </c>
      <c r="C91" s="12">
        <f>'Dashboard'!$C$9+B91</f>
        <v/>
      </c>
      <c r="D91" s="14">
        <f>(0.24*((C91+0.1*'Cooling Tower &amp; Corrugated Fill'!$C$12))+0.62198*(0.61094*EXP(17.625*(((C91+0.1*'Cooling Tower &amp; Corrugated Fill'!$C$12))-32)/1.8/((((C91+0.1*'Cooling Tower &amp; Corrugated Fill'!$C$12))-32)/1.8+243.04)))/('Cooling Tower &amp; Corrugated Fill'!$C$14-(0.61094*EXP(17.625*(((C91+0.1*'Cooling Tower &amp; Corrugated Fill'!$C$12))-32)/1.8/((((C91+0.1*'Cooling Tower &amp; Corrugated Fill'!$C$12))-32)/1.8+243.04))))*(1061+0.444*((C91+0.1*'Cooling Tower &amp; Corrugated Fill'!$C$12))))-('Merkel Solver'!$C$4+'Cooling Tower &amp; Corrugated Fill'!$C$13*0.1*'Cooling Tower &amp; Corrugated Fill'!$C$12)</f>
        <v/>
      </c>
      <c r="E91" s="14">
        <f>(0.24*((C91+0.4*'Cooling Tower &amp; Corrugated Fill'!$C$12))+0.62198*(0.61094*EXP(17.625*(((C91+0.4*'Cooling Tower &amp; Corrugated Fill'!$C$12))-32)/1.8/((((C91+0.4*'Cooling Tower &amp; Corrugated Fill'!$C$12))-32)/1.8+243.04)))/('Cooling Tower &amp; Corrugated Fill'!$C$14-(0.61094*EXP(17.625*(((C91+0.4*'Cooling Tower &amp; Corrugated Fill'!$C$12))-32)/1.8/((((C91+0.4*'Cooling Tower &amp; Corrugated Fill'!$C$12))-32)/1.8+243.04))))*(1061+0.444*((C91+0.4*'Cooling Tower &amp; Corrugated Fill'!$C$12))))-('Merkel Solver'!$C$4+'Cooling Tower &amp; Corrugated Fill'!$C$13*0.4*'Cooling Tower &amp; Corrugated Fill'!$C$12)</f>
        <v/>
      </c>
      <c r="F91" s="14">
        <f>(0.24*((C91+0.6*'Cooling Tower &amp; Corrugated Fill'!$C$12))+0.62198*(0.61094*EXP(17.625*(((C91+0.6*'Cooling Tower &amp; Corrugated Fill'!$C$12))-32)/1.8/((((C91+0.6*'Cooling Tower &amp; Corrugated Fill'!$C$12))-32)/1.8+243.04)))/('Cooling Tower &amp; Corrugated Fill'!$C$14-(0.61094*EXP(17.625*(((C91+0.6*'Cooling Tower &amp; Corrugated Fill'!$C$12))-32)/1.8/((((C91+0.6*'Cooling Tower &amp; Corrugated Fill'!$C$12))-32)/1.8+243.04))))*(1061+0.444*((C91+0.6*'Cooling Tower &amp; Corrugated Fill'!$C$12))))-('Merkel Solver'!$C$4+'Cooling Tower &amp; Corrugated Fill'!$C$13*0.6*'Cooling Tower &amp; Corrugated Fill'!$C$12)</f>
        <v/>
      </c>
      <c r="G91" s="14">
        <f>(0.24*((C91+0.9*'Cooling Tower &amp; Corrugated Fill'!$C$12))+0.62198*(0.61094*EXP(17.625*(((C91+0.9*'Cooling Tower &amp; Corrugated Fill'!$C$12))-32)/1.8/((((C91+0.9*'Cooling Tower &amp; Corrugated Fill'!$C$12))-32)/1.8+243.04)))/('Cooling Tower &amp; Corrugated Fill'!$C$14-(0.61094*EXP(17.625*(((C91+0.9*'Cooling Tower &amp; Corrugated Fill'!$C$12))-32)/1.8/((((C91+0.9*'Cooling Tower &amp; Corrugated Fill'!$C$12))-32)/1.8+243.04))))*(1061+0.444*((C91+0.9*'Cooling Tower &amp; Corrugated Fill'!$C$12))))-('Merkel Solver'!$C$4+'Cooling Tower &amp; Corrugated Fill'!$C$13*0.9*'Cooling Tower &amp; Corrugated Fill'!$C$12)</f>
        <v/>
      </c>
      <c r="H91" s="22">
        <f>IF(MIN(D91:G91)&lt;=0,99999,'Cooling Tower &amp; Corrugated Fill'!$C$12/4*(1/D91+1/E91+1/F91+1/G91))</f>
        <v/>
      </c>
    </row>
    <row r="92">
      <c r="B92" s="30" t="n">
        <v>8.6</v>
      </c>
      <c r="C92" s="12">
        <f>'Dashboard'!$C$9+B92</f>
        <v/>
      </c>
      <c r="D92" s="14">
        <f>(0.24*((C92+0.1*'Cooling Tower &amp; Corrugated Fill'!$C$12))+0.62198*(0.61094*EXP(17.625*(((C92+0.1*'Cooling Tower &amp; Corrugated Fill'!$C$12))-32)/1.8/((((C92+0.1*'Cooling Tower &amp; Corrugated Fill'!$C$12))-32)/1.8+243.04)))/('Cooling Tower &amp; Corrugated Fill'!$C$14-(0.61094*EXP(17.625*(((C92+0.1*'Cooling Tower &amp; Corrugated Fill'!$C$12))-32)/1.8/((((C92+0.1*'Cooling Tower &amp; Corrugated Fill'!$C$12))-32)/1.8+243.04))))*(1061+0.444*((C92+0.1*'Cooling Tower &amp; Corrugated Fill'!$C$12))))-('Merkel Solver'!$C$4+'Cooling Tower &amp; Corrugated Fill'!$C$13*0.1*'Cooling Tower &amp; Corrugated Fill'!$C$12)</f>
        <v/>
      </c>
      <c r="E92" s="14">
        <f>(0.24*((C92+0.4*'Cooling Tower &amp; Corrugated Fill'!$C$12))+0.62198*(0.61094*EXP(17.625*(((C92+0.4*'Cooling Tower &amp; Corrugated Fill'!$C$12))-32)/1.8/((((C92+0.4*'Cooling Tower &amp; Corrugated Fill'!$C$12))-32)/1.8+243.04)))/('Cooling Tower &amp; Corrugated Fill'!$C$14-(0.61094*EXP(17.625*(((C92+0.4*'Cooling Tower &amp; Corrugated Fill'!$C$12))-32)/1.8/((((C92+0.4*'Cooling Tower &amp; Corrugated Fill'!$C$12))-32)/1.8+243.04))))*(1061+0.444*((C92+0.4*'Cooling Tower &amp; Corrugated Fill'!$C$12))))-('Merkel Solver'!$C$4+'Cooling Tower &amp; Corrugated Fill'!$C$13*0.4*'Cooling Tower &amp; Corrugated Fill'!$C$12)</f>
        <v/>
      </c>
      <c r="F92" s="14">
        <f>(0.24*((C92+0.6*'Cooling Tower &amp; Corrugated Fill'!$C$12))+0.62198*(0.61094*EXP(17.625*(((C92+0.6*'Cooling Tower &amp; Corrugated Fill'!$C$12))-32)/1.8/((((C92+0.6*'Cooling Tower &amp; Corrugated Fill'!$C$12))-32)/1.8+243.04)))/('Cooling Tower &amp; Corrugated Fill'!$C$14-(0.61094*EXP(17.625*(((C92+0.6*'Cooling Tower &amp; Corrugated Fill'!$C$12))-32)/1.8/((((C92+0.6*'Cooling Tower &amp; Corrugated Fill'!$C$12))-32)/1.8+243.04))))*(1061+0.444*((C92+0.6*'Cooling Tower &amp; Corrugated Fill'!$C$12))))-('Merkel Solver'!$C$4+'Cooling Tower &amp; Corrugated Fill'!$C$13*0.6*'Cooling Tower &amp; Corrugated Fill'!$C$12)</f>
        <v/>
      </c>
      <c r="G92" s="14">
        <f>(0.24*((C92+0.9*'Cooling Tower &amp; Corrugated Fill'!$C$12))+0.62198*(0.61094*EXP(17.625*(((C92+0.9*'Cooling Tower &amp; Corrugated Fill'!$C$12))-32)/1.8/((((C92+0.9*'Cooling Tower &amp; Corrugated Fill'!$C$12))-32)/1.8+243.04)))/('Cooling Tower &amp; Corrugated Fill'!$C$14-(0.61094*EXP(17.625*(((C92+0.9*'Cooling Tower &amp; Corrugated Fill'!$C$12))-32)/1.8/((((C92+0.9*'Cooling Tower &amp; Corrugated Fill'!$C$12))-32)/1.8+243.04))))*(1061+0.444*((C92+0.9*'Cooling Tower &amp; Corrugated Fill'!$C$12))))-('Merkel Solver'!$C$4+'Cooling Tower &amp; Corrugated Fill'!$C$13*0.9*'Cooling Tower &amp; Corrugated Fill'!$C$12)</f>
        <v/>
      </c>
      <c r="H92" s="22">
        <f>IF(MIN(D92:G92)&lt;=0,99999,'Cooling Tower &amp; Corrugated Fill'!$C$12/4*(1/D92+1/E92+1/F92+1/G92))</f>
        <v/>
      </c>
    </row>
    <row r="93">
      <c r="B93" s="30" t="n">
        <v>8.699999999999999</v>
      </c>
      <c r="C93" s="12">
        <f>'Dashboard'!$C$9+B93</f>
        <v/>
      </c>
      <c r="D93" s="14">
        <f>(0.24*((C93+0.1*'Cooling Tower &amp; Corrugated Fill'!$C$12))+0.62198*(0.61094*EXP(17.625*(((C93+0.1*'Cooling Tower &amp; Corrugated Fill'!$C$12))-32)/1.8/((((C93+0.1*'Cooling Tower &amp; Corrugated Fill'!$C$12))-32)/1.8+243.04)))/('Cooling Tower &amp; Corrugated Fill'!$C$14-(0.61094*EXP(17.625*(((C93+0.1*'Cooling Tower &amp; Corrugated Fill'!$C$12))-32)/1.8/((((C93+0.1*'Cooling Tower &amp; Corrugated Fill'!$C$12))-32)/1.8+243.04))))*(1061+0.444*((C93+0.1*'Cooling Tower &amp; Corrugated Fill'!$C$12))))-('Merkel Solver'!$C$4+'Cooling Tower &amp; Corrugated Fill'!$C$13*0.1*'Cooling Tower &amp; Corrugated Fill'!$C$12)</f>
        <v/>
      </c>
      <c r="E93" s="14">
        <f>(0.24*((C93+0.4*'Cooling Tower &amp; Corrugated Fill'!$C$12))+0.62198*(0.61094*EXP(17.625*(((C93+0.4*'Cooling Tower &amp; Corrugated Fill'!$C$12))-32)/1.8/((((C93+0.4*'Cooling Tower &amp; Corrugated Fill'!$C$12))-32)/1.8+243.04)))/('Cooling Tower &amp; Corrugated Fill'!$C$14-(0.61094*EXP(17.625*(((C93+0.4*'Cooling Tower &amp; Corrugated Fill'!$C$12))-32)/1.8/((((C93+0.4*'Cooling Tower &amp; Corrugated Fill'!$C$12))-32)/1.8+243.04))))*(1061+0.444*((C93+0.4*'Cooling Tower &amp; Corrugated Fill'!$C$12))))-('Merkel Solver'!$C$4+'Cooling Tower &amp; Corrugated Fill'!$C$13*0.4*'Cooling Tower &amp; Corrugated Fill'!$C$12)</f>
        <v/>
      </c>
      <c r="F93" s="14">
        <f>(0.24*((C93+0.6*'Cooling Tower &amp; Corrugated Fill'!$C$12))+0.62198*(0.61094*EXP(17.625*(((C93+0.6*'Cooling Tower &amp; Corrugated Fill'!$C$12))-32)/1.8/((((C93+0.6*'Cooling Tower &amp; Corrugated Fill'!$C$12))-32)/1.8+243.04)))/('Cooling Tower &amp; Corrugated Fill'!$C$14-(0.61094*EXP(17.625*(((C93+0.6*'Cooling Tower &amp; Corrugated Fill'!$C$12))-32)/1.8/((((C93+0.6*'Cooling Tower &amp; Corrugated Fill'!$C$12))-32)/1.8+243.04))))*(1061+0.444*((C93+0.6*'Cooling Tower &amp; Corrugated Fill'!$C$12))))-('Merkel Solver'!$C$4+'Cooling Tower &amp; Corrugated Fill'!$C$13*0.6*'Cooling Tower &amp; Corrugated Fill'!$C$12)</f>
        <v/>
      </c>
      <c r="G93" s="14">
        <f>(0.24*((C93+0.9*'Cooling Tower &amp; Corrugated Fill'!$C$12))+0.62198*(0.61094*EXP(17.625*(((C93+0.9*'Cooling Tower &amp; Corrugated Fill'!$C$12))-32)/1.8/((((C93+0.9*'Cooling Tower &amp; Corrugated Fill'!$C$12))-32)/1.8+243.04)))/('Cooling Tower &amp; Corrugated Fill'!$C$14-(0.61094*EXP(17.625*(((C93+0.9*'Cooling Tower &amp; Corrugated Fill'!$C$12))-32)/1.8/((((C93+0.9*'Cooling Tower &amp; Corrugated Fill'!$C$12))-32)/1.8+243.04))))*(1061+0.444*((C93+0.9*'Cooling Tower &amp; Corrugated Fill'!$C$12))))-('Merkel Solver'!$C$4+'Cooling Tower &amp; Corrugated Fill'!$C$13*0.9*'Cooling Tower &amp; Corrugated Fill'!$C$12)</f>
        <v/>
      </c>
      <c r="H93" s="22">
        <f>IF(MIN(D93:G93)&lt;=0,99999,'Cooling Tower &amp; Corrugated Fill'!$C$12/4*(1/D93+1/E93+1/F93+1/G93))</f>
        <v/>
      </c>
    </row>
    <row r="94">
      <c r="B94" s="30" t="n">
        <v>8.800000000000001</v>
      </c>
      <c r="C94" s="12">
        <f>'Dashboard'!$C$9+B94</f>
        <v/>
      </c>
      <c r="D94" s="14">
        <f>(0.24*((C94+0.1*'Cooling Tower &amp; Corrugated Fill'!$C$12))+0.62198*(0.61094*EXP(17.625*(((C94+0.1*'Cooling Tower &amp; Corrugated Fill'!$C$12))-32)/1.8/((((C94+0.1*'Cooling Tower &amp; Corrugated Fill'!$C$12))-32)/1.8+243.04)))/('Cooling Tower &amp; Corrugated Fill'!$C$14-(0.61094*EXP(17.625*(((C94+0.1*'Cooling Tower &amp; Corrugated Fill'!$C$12))-32)/1.8/((((C94+0.1*'Cooling Tower &amp; Corrugated Fill'!$C$12))-32)/1.8+243.04))))*(1061+0.444*((C94+0.1*'Cooling Tower &amp; Corrugated Fill'!$C$12))))-('Merkel Solver'!$C$4+'Cooling Tower &amp; Corrugated Fill'!$C$13*0.1*'Cooling Tower &amp; Corrugated Fill'!$C$12)</f>
        <v/>
      </c>
      <c r="E94" s="14">
        <f>(0.24*((C94+0.4*'Cooling Tower &amp; Corrugated Fill'!$C$12))+0.62198*(0.61094*EXP(17.625*(((C94+0.4*'Cooling Tower &amp; Corrugated Fill'!$C$12))-32)/1.8/((((C94+0.4*'Cooling Tower &amp; Corrugated Fill'!$C$12))-32)/1.8+243.04)))/('Cooling Tower &amp; Corrugated Fill'!$C$14-(0.61094*EXP(17.625*(((C94+0.4*'Cooling Tower &amp; Corrugated Fill'!$C$12))-32)/1.8/((((C94+0.4*'Cooling Tower &amp; Corrugated Fill'!$C$12))-32)/1.8+243.04))))*(1061+0.444*((C94+0.4*'Cooling Tower &amp; Corrugated Fill'!$C$12))))-('Merkel Solver'!$C$4+'Cooling Tower &amp; Corrugated Fill'!$C$13*0.4*'Cooling Tower &amp; Corrugated Fill'!$C$12)</f>
        <v/>
      </c>
      <c r="F94" s="14">
        <f>(0.24*((C94+0.6*'Cooling Tower &amp; Corrugated Fill'!$C$12))+0.62198*(0.61094*EXP(17.625*(((C94+0.6*'Cooling Tower &amp; Corrugated Fill'!$C$12))-32)/1.8/((((C94+0.6*'Cooling Tower &amp; Corrugated Fill'!$C$12))-32)/1.8+243.04)))/('Cooling Tower &amp; Corrugated Fill'!$C$14-(0.61094*EXP(17.625*(((C94+0.6*'Cooling Tower &amp; Corrugated Fill'!$C$12))-32)/1.8/((((C94+0.6*'Cooling Tower &amp; Corrugated Fill'!$C$12))-32)/1.8+243.04))))*(1061+0.444*((C94+0.6*'Cooling Tower &amp; Corrugated Fill'!$C$12))))-('Merkel Solver'!$C$4+'Cooling Tower &amp; Corrugated Fill'!$C$13*0.6*'Cooling Tower &amp; Corrugated Fill'!$C$12)</f>
        <v/>
      </c>
      <c r="G94" s="14">
        <f>(0.24*((C94+0.9*'Cooling Tower &amp; Corrugated Fill'!$C$12))+0.62198*(0.61094*EXP(17.625*(((C94+0.9*'Cooling Tower &amp; Corrugated Fill'!$C$12))-32)/1.8/((((C94+0.9*'Cooling Tower &amp; Corrugated Fill'!$C$12))-32)/1.8+243.04)))/('Cooling Tower &amp; Corrugated Fill'!$C$14-(0.61094*EXP(17.625*(((C94+0.9*'Cooling Tower &amp; Corrugated Fill'!$C$12))-32)/1.8/((((C94+0.9*'Cooling Tower &amp; Corrugated Fill'!$C$12))-32)/1.8+243.04))))*(1061+0.444*((C94+0.9*'Cooling Tower &amp; Corrugated Fill'!$C$12))))-('Merkel Solver'!$C$4+'Cooling Tower &amp; Corrugated Fill'!$C$13*0.9*'Cooling Tower &amp; Corrugated Fill'!$C$12)</f>
        <v/>
      </c>
      <c r="H94" s="22">
        <f>IF(MIN(D94:G94)&lt;=0,99999,'Cooling Tower &amp; Corrugated Fill'!$C$12/4*(1/D94+1/E94+1/F94+1/G94))</f>
        <v/>
      </c>
    </row>
    <row r="95">
      <c r="B95" s="30" t="n">
        <v>8.9</v>
      </c>
      <c r="C95" s="12">
        <f>'Dashboard'!$C$9+B95</f>
        <v/>
      </c>
      <c r="D95" s="14">
        <f>(0.24*((C95+0.1*'Cooling Tower &amp; Corrugated Fill'!$C$12))+0.62198*(0.61094*EXP(17.625*(((C95+0.1*'Cooling Tower &amp; Corrugated Fill'!$C$12))-32)/1.8/((((C95+0.1*'Cooling Tower &amp; Corrugated Fill'!$C$12))-32)/1.8+243.04)))/('Cooling Tower &amp; Corrugated Fill'!$C$14-(0.61094*EXP(17.625*(((C95+0.1*'Cooling Tower &amp; Corrugated Fill'!$C$12))-32)/1.8/((((C95+0.1*'Cooling Tower &amp; Corrugated Fill'!$C$12))-32)/1.8+243.04))))*(1061+0.444*((C95+0.1*'Cooling Tower &amp; Corrugated Fill'!$C$12))))-('Merkel Solver'!$C$4+'Cooling Tower &amp; Corrugated Fill'!$C$13*0.1*'Cooling Tower &amp; Corrugated Fill'!$C$12)</f>
        <v/>
      </c>
      <c r="E95" s="14">
        <f>(0.24*((C95+0.4*'Cooling Tower &amp; Corrugated Fill'!$C$12))+0.62198*(0.61094*EXP(17.625*(((C95+0.4*'Cooling Tower &amp; Corrugated Fill'!$C$12))-32)/1.8/((((C95+0.4*'Cooling Tower &amp; Corrugated Fill'!$C$12))-32)/1.8+243.04)))/('Cooling Tower &amp; Corrugated Fill'!$C$14-(0.61094*EXP(17.625*(((C95+0.4*'Cooling Tower &amp; Corrugated Fill'!$C$12))-32)/1.8/((((C95+0.4*'Cooling Tower &amp; Corrugated Fill'!$C$12))-32)/1.8+243.04))))*(1061+0.444*((C95+0.4*'Cooling Tower &amp; Corrugated Fill'!$C$12))))-('Merkel Solver'!$C$4+'Cooling Tower &amp; Corrugated Fill'!$C$13*0.4*'Cooling Tower &amp; Corrugated Fill'!$C$12)</f>
        <v/>
      </c>
      <c r="F95" s="14">
        <f>(0.24*((C95+0.6*'Cooling Tower &amp; Corrugated Fill'!$C$12))+0.62198*(0.61094*EXP(17.625*(((C95+0.6*'Cooling Tower &amp; Corrugated Fill'!$C$12))-32)/1.8/((((C95+0.6*'Cooling Tower &amp; Corrugated Fill'!$C$12))-32)/1.8+243.04)))/('Cooling Tower &amp; Corrugated Fill'!$C$14-(0.61094*EXP(17.625*(((C95+0.6*'Cooling Tower &amp; Corrugated Fill'!$C$12))-32)/1.8/((((C95+0.6*'Cooling Tower &amp; Corrugated Fill'!$C$12))-32)/1.8+243.04))))*(1061+0.444*((C95+0.6*'Cooling Tower &amp; Corrugated Fill'!$C$12))))-('Merkel Solver'!$C$4+'Cooling Tower &amp; Corrugated Fill'!$C$13*0.6*'Cooling Tower &amp; Corrugated Fill'!$C$12)</f>
        <v/>
      </c>
      <c r="G95" s="14">
        <f>(0.24*((C95+0.9*'Cooling Tower &amp; Corrugated Fill'!$C$12))+0.62198*(0.61094*EXP(17.625*(((C95+0.9*'Cooling Tower &amp; Corrugated Fill'!$C$12))-32)/1.8/((((C95+0.9*'Cooling Tower &amp; Corrugated Fill'!$C$12))-32)/1.8+243.04)))/('Cooling Tower &amp; Corrugated Fill'!$C$14-(0.61094*EXP(17.625*(((C95+0.9*'Cooling Tower &amp; Corrugated Fill'!$C$12))-32)/1.8/((((C95+0.9*'Cooling Tower &amp; Corrugated Fill'!$C$12))-32)/1.8+243.04))))*(1061+0.444*((C95+0.9*'Cooling Tower &amp; Corrugated Fill'!$C$12))))-('Merkel Solver'!$C$4+'Cooling Tower &amp; Corrugated Fill'!$C$13*0.9*'Cooling Tower &amp; Corrugated Fill'!$C$12)</f>
        <v/>
      </c>
      <c r="H95" s="22">
        <f>IF(MIN(D95:G95)&lt;=0,99999,'Cooling Tower &amp; Corrugated Fill'!$C$12/4*(1/D95+1/E95+1/F95+1/G95))</f>
        <v/>
      </c>
    </row>
    <row r="96">
      <c r="B96" s="30" t="n">
        <v>9</v>
      </c>
      <c r="C96" s="12">
        <f>'Dashboard'!$C$9+B96</f>
        <v/>
      </c>
      <c r="D96" s="14">
        <f>(0.24*((C96+0.1*'Cooling Tower &amp; Corrugated Fill'!$C$12))+0.62198*(0.61094*EXP(17.625*(((C96+0.1*'Cooling Tower &amp; Corrugated Fill'!$C$12))-32)/1.8/((((C96+0.1*'Cooling Tower &amp; Corrugated Fill'!$C$12))-32)/1.8+243.04)))/('Cooling Tower &amp; Corrugated Fill'!$C$14-(0.61094*EXP(17.625*(((C96+0.1*'Cooling Tower &amp; Corrugated Fill'!$C$12))-32)/1.8/((((C96+0.1*'Cooling Tower &amp; Corrugated Fill'!$C$12))-32)/1.8+243.04))))*(1061+0.444*((C96+0.1*'Cooling Tower &amp; Corrugated Fill'!$C$12))))-('Merkel Solver'!$C$4+'Cooling Tower &amp; Corrugated Fill'!$C$13*0.1*'Cooling Tower &amp; Corrugated Fill'!$C$12)</f>
        <v/>
      </c>
      <c r="E96" s="14">
        <f>(0.24*((C96+0.4*'Cooling Tower &amp; Corrugated Fill'!$C$12))+0.62198*(0.61094*EXP(17.625*(((C96+0.4*'Cooling Tower &amp; Corrugated Fill'!$C$12))-32)/1.8/((((C96+0.4*'Cooling Tower &amp; Corrugated Fill'!$C$12))-32)/1.8+243.04)))/('Cooling Tower &amp; Corrugated Fill'!$C$14-(0.61094*EXP(17.625*(((C96+0.4*'Cooling Tower &amp; Corrugated Fill'!$C$12))-32)/1.8/((((C96+0.4*'Cooling Tower &amp; Corrugated Fill'!$C$12))-32)/1.8+243.04))))*(1061+0.444*((C96+0.4*'Cooling Tower &amp; Corrugated Fill'!$C$12))))-('Merkel Solver'!$C$4+'Cooling Tower &amp; Corrugated Fill'!$C$13*0.4*'Cooling Tower &amp; Corrugated Fill'!$C$12)</f>
        <v/>
      </c>
      <c r="F96" s="14">
        <f>(0.24*((C96+0.6*'Cooling Tower &amp; Corrugated Fill'!$C$12))+0.62198*(0.61094*EXP(17.625*(((C96+0.6*'Cooling Tower &amp; Corrugated Fill'!$C$12))-32)/1.8/((((C96+0.6*'Cooling Tower &amp; Corrugated Fill'!$C$12))-32)/1.8+243.04)))/('Cooling Tower &amp; Corrugated Fill'!$C$14-(0.61094*EXP(17.625*(((C96+0.6*'Cooling Tower &amp; Corrugated Fill'!$C$12))-32)/1.8/((((C96+0.6*'Cooling Tower &amp; Corrugated Fill'!$C$12))-32)/1.8+243.04))))*(1061+0.444*((C96+0.6*'Cooling Tower &amp; Corrugated Fill'!$C$12))))-('Merkel Solver'!$C$4+'Cooling Tower &amp; Corrugated Fill'!$C$13*0.6*'Cooling Tower &amp; Corrugated Fill'!$C$12)</f>
        <v/>
      </c>
      <c r="G96" s="14">
        <f>(0.24*((C96+0.9*'Cooling Tower &amp; Corrugated Fill'!$C$12))+0.62198*(0.61094*EXP(17.625*(((C96+0.9*'Cooling Tower &amp; Corrugated Fill'!$C$12))-32)/1.8/((((C96+0.9*'Cooling Tower &amp; Corrugated Fill'!$C$12))-32)/1.8+243.04)))/('Cooling Tower &amp; Corrugated Fill'!$C$14-(0.61094*EXP(17.625*(((C96+0.9*'Cooling Tower &amp; Corrugated Fill'!$C$12))-32)/1.8/((((C96+0.9*'Cooling Tower &amp; Corrugated Fill'!$C$12))-32)/1.8+243.04))))*(1061+0.444*((C96+0.9*'Cooling Tower &amp; Corrugated Fill'!$C$12))))-('Merkel Solver'!$C$4+'Cooling Tower &amp; Corrugated Fill'!$C$13*0.9*'Cooling Tower &amp; Corrugated Fill'!$C$12)</f>
        <v/>
      </c>
      <c r="H96" s="22">
        <f>IF(MIN(D96:G96)&lt;=0,99999,'Cooling Tower &amp; Corrugated Fill'!$C$12/4*(1/D96+1/E96+1/F96+1/G96))</f>
        <v/>
      </c>
    </row>
    <row r="97">
      <c r="B97" s="30" t="n">
        <v>9.1</v>
      </c>
      <c r="C97" s="12">
        <f>'Dashboard'!$C$9+B97</f>
        <v/>
      </c>
      <c r="D97" s="14">
        <f>(0.24*((C97+0.1*'Cooling Tower &amp; Corrugated Fill'!$C$12))+0.62198*(0.61094*EXP(17.625*(((C97+0.1*'Cooling Tower &amp; Corrugated Fill'!$C$12))-32)/1.8/((((C97+0.1*'Cooling Tower &amp; Corrugated Fill'!$C$12))-32)/1.8+243.04)))/('Cooling Tower &amp; Corrugated Fill'!$C$14-(0.61094*EXP(17.625*(((C97+0.1*'Cooling Tower &amp; Corrugated Fill'!$C$12))-32)/1.8/((((C97+0.1*'Cooling Tower &amp; Corrugated Fill'!$C$12))-32)/1.8+243.04))))*(1061+0.444*((C97+0.1*'Cooling Tower &amp; Corrugated Fill'!$C$12))))-('Merkel Solver'!$C$4+'Cooling Tower &amp; Corrugated Fill'!$C$13*0.1*'Cooling Tower &amp; Corrugated Fill'!$C$12)</f>
        <v/>
      </c>
      <c r="E97" s="14">
        <f>(0.24*((C97+0.4*'Cooling Tower &amp; Corrugated Fill'!$C$12))+0.62198*(0.61094*EXP(17.625*(((C97+0.4*'Cooling Tower &amp; Corrugated Fill'!$C$12))-32)/1.8/((((C97+0.4*'Cooling Tower &amp; Corrugated Fill'!$C$12))-32)/1.8+243.04)))/('Cooling Tower &amp; Corrugated Fill'!$C$14-(0.61094*EXP(17.625*(((C97+0.4*'Cooling Tower &amp; Corrugated Fill'!$C$12))-32)/1.8/((((C97+0.4*'Cooling Tower &amp; Corrugated Fill'!$C$12))-32)/1.8+243.04))))*(1061+0.444*((C97+0.4*'Cooling Tower &amp; Corrugated Fill'!$C$12))))-('Merkel Solver'!$C$4+'Cooling Tower &amp; Corrugated Fill'!$C$13*0.4*'Cooling Tower &amp; Corrugated Fill'!$C$12)</f>
        <v/>
      </c>
      <c r="F97" s="14">
        <f>(0.24*((C97+0.6*'Cooling Tower &amp; Corrugated Fill'!$C$12))+0.62198*(0.61094*EXP(17.625*(((C97+0.6*'Cooling Tower &amp; Corrugated Fill'!$C$12))-32)/1.8/((((C97+0.6*'Cooling Tower &amp; Corrugated Fill'!$C$12))-32)/1.8+243.04)))/('Cooling Tower &amp; Corrugated Fill'!$C$14-(0.61094*EXP(17.625*(((C97+0.6*'Cooling Tower &amp; Corrugated Fill'!$C$12))-32)/1.8/((((C97+0.6*'Cooling Tower &amp; Corrugated Fill'!$C$12))-32)/1.8+243.04))))*(1061+0.444*((C97+0.6*'Cooling Tower &amp; Corrugated Fill'!$C$12))))-('Merkel Solver'!$C$4+'Cooling Tower &amp; Corrugated Fill'!$C$13*0.6*'Cooling Tower &amp; Corrugated Fill'!$C$12)</f>
        <v/>
      </c>
      <c r="G97" s="14">
        <f>(0.24*((C97+0.9*'Cooling Tower &amp; Corrugated Fill'!$C$12))+0.62198*(0.61094*EXP(17.625*(((C97+0.9*'Cooling Tower &amp; Corrugated Fill'!$C$12))-32)/1.8/((((C97+0.9*'Cooling Tower &amp; Corrugated Fill'!$C$12))-32)/1.8+243.04)))/('Cooling Tower &amp; Corrugated Fill'!$C$14-(0.61094*EXP(17.625*(((C97+0.9*'Cooling Tower &amp; Corrugated Fill'!$C$12))-32)/1.8/((((C97+0.9*'Cooling Tower &amp; Corrugated Fill'!$C$12))-32)/1.8+243.04))))*(1061+0.444*((C97+0.9*'Cooling Tower &amp; Corrugated Fill'!$C$12))))-('Merkel Solver'!$C$4+'Cooling Tower &amp; Corrugated Fill'!$C$13*0.9*'Cooling Tower &amp; Corrugated Fill'!$C$12)</f>
        <v/>
      </c>
      <c r="H97" s="22">
        <f>IF(MIN(D97:G97)&lt;=0,99999,'Cooling Tower &amp; Corrugated Fill'!$C$12/4*(1/D97+1/E97+1/F97+1/G97))</f>
        <v/>
      </c>
    </row>
    <row r="98">
      <c r="B98" s="30" t="n">
        <v>9.199999999999999</v>
      </c>
      <c r="C98" s="12">
        <f>'Dashboard'!$C$9+B98</f>
        <v/>
      </c>
      <c r="D98" s="14">
        <f>(0.24*((C98+0.1*'Cooling Tower &amp; Corrugated Fill'!$C$12))+0.62198*(0.61094*EXP(17.625*(((C98+0.1*'Cooling Tower &amp; Corrugated Fill'!$C$12))-32)/1.8/((((C98+0.1*'Cooling Tower &amp; Corrugated Fill'!$C$12))-32)/1.8+243.04)))/('Cooling Tower &amp; Corrugated Fill'!$C$14-(0.61094*EXP(17.625*(((C98+0.1*'Cooling Tower &amp; Corrugated Fill'!$C$12))-32)/1.8/((((C98+0.1*'Cooling Tower &amp; Corrugated Fill'!$C$12))-32)/1.8+243.04))))*(1061+0.444*((C98+0.1*'Cooling Tower &amp; Corrugated Fill'!$C$12))))-('Merkel Solver'!$C$4+'Cooling Tower &amp; Corrugated Fill'!$C$13*0.1*'Cooling Tower &amp; Corrugated Fill'!$C$12)</f>
        <v/>
      </c>
      <c r="E98" s="14">
        <f>(0.24*((C98+0.4*'Cooling Tower &amp; Corrugated Fill'!$C$12))+0.62198*(0.61094*EXP(17.625*(((C98+0.4*'Cooling Tower &amp; Corrugated Fill'!$C$12))-32)/1.8/((((C98+0.4*'Cooling Tower &amp; Corrugated Fill'!$C$12))-32)/1.8+243.04)))/('Cooling Tower &amp; Corrugated Fill'!$C$14-(0.61094*EXP(17.625*(((C98+0.4*'Cooling Tower &amp; Corrugated Fill'!$C$12))-32)/1.8/((((C98+0.4*'Cooling Tower &amp; Corrugated Fill'!$C$12))-32)/1.8+243.04))))*(1061+0.444*((C98+0.4*'Cooling Tower &amp; Corrugated Fill'!$C$12))))-('Merkel Solver'!$C$4+'Cooling Tower &amp; Corrugated Fill'!$C$13*0.4*'Cooling Tower &amp; Corrugated Fill'!$C$12)</f>
        <v/>
      </c>
      <c r="F98" s="14">
        <f>(0.24*((C98+0.6*'Cooling Tower &amp; Corrugated Fill'!$C$12))+0.62198*(0.61094*EXP(17.625*(((C98+0.6*'Cooling Tower &amp; Corrugated Fill'!$C$12))-32)/1.8/((((C98+0.6*'Cooling Tower &amp; Corrugated Fill'!$C$12))-32)/1.8+243.04)))/('Cooling Tower &amp; Corrugated Fill'!$C$14-(0.61094*EXP(17.625*(((C98+0.6*'Cooling Tower &amp; Corrugated Fill'!$C$12))-32)/1.8/((((C98+0.6*'Cooling Tower &amp; Corrugated Fill'!$C$12))-32)/1.8+243.04))))*(1061+0.444*((C98+0.6*'Cooling Tower &amp; Corrugated Fill'!$C$12))))-('Merkel Solver'!$C$4+'Cooling Tower &amp; Corrugated Fill'!$C$13*0.6*'Cooling Tower &amp; Corrugated Fill'!$C$12)</f>
        <v/>
      </c>
      <c r="G98" s="14">
        <f>(0.24*((C98+0.9*'Cooling Tower &amp; Corrugated Fill'!$C$12))+0.62198*(0.61094*EXP(17.625*(((C98+0.9*'Cooling Tower &amp; Corrugated Fill'!$C$12))-32)/1.8/((((C98+0.9*'Cooling Tower &amp; Corrugated Fill'!$C$12))-32)/1.8+243.04)))/('Cooling Tower &amp; Corrugated Fill'!$C$14-(0.61094*EXP(17.625*(((C98+0.9*'Cooling Tower &amp; Corrugated Fill'!$C$12))-32)/1.8/((((C98+0.9*'Cooling Tower &amp; Corrugated Fill'!$C$12))-32)/1.8+243.04))))*(1061+0.444*((C98+0.9*'Cooling Tower &amp; Corrugated Fill'!$C$12))))-('Merkel Solver'!$C$4+'Cooling Tower &amp; Corrugated Fill'!$C$13*0.9*'Cooling Tower &amp; Corrugated Fill'!$C$12)</f>
        <v/>
      </c>
      <c r="H98" s="22">
        <f>IF(MIN(D98:G98)&lt;=0,99999,'Cooling Tower &amp; Corrugated Fill'!$C$12/4*(1/D98+1/E98+1/F98+1/G98))</f>
        <v/>
      </c>
    </row>
    <row r="99">
      <c r="B99" s="30" t="n">
        <v>9.300000000000001</v>
      </c>
      <c r="C99" s="12">
        <f>'Dashboard'!$C$9+B99</f>
        <v/>
      </c>
      <c r="D99" s="14">
        <f>(0.24*((C99+0.1*'Cooling Tower &amp; Corrugated Fill'!$C$12))+0.62198*(0.61094*EXP(17.625*(((C99+0.1*'Cooling Tower &amp; Corrugated Fill'!$C$12))-32)/1.8/((((C99+0.1*'Cooling Tower &amp; Corrugated Fill'!$C$12))-32)/1.8+243.04)))/('Cooling Tower &amp; Corrugated Fill'!$C$14-(0.61094*EXP(17.625*(((C99+0.1*'Cooling Tower &amp; Corrugated Fill'!$C$12))-32)/1.8/((((C99+0.1*'Cooling Tower &amp; Corrugated Fill'!$C$12))-32)/1.8+243.04))))*(1061+0.444*((C99+0.1*'Cooling Tower &amp; Corrugated Fill'!$C$12))))-('Merkel Solver'!$C$4+'Cooling Tower &amp; Corrugated Fill'!$C$13*0.1*'Cooling Tower &amp; Corrugated Fill'!$C$12)</f>
        <v/>
      </c>
      <c r="E99" s="14">
        <f>(0.24*((C99+0.4*'Cooling Tower &amp; Corrugated Fill'!$C$12))+0.62198*(0.61094*EXP(17.625*(((C99+0.4*'Cooling Tower &amp; Corrugated Fill'!$C$12))-32)/1.8/((((C99+0.4*'Cooling Tower &amp; Corrugated Fill'!$C$12))-32)/1.8+243.04)))/('Cooling Tower &amp; Corrugated Fill'!$C$14-(0.61094*EXP(17.625*(((C99+0.4*'Cooling Tower &amp; Corrugated Fill'!$C$12))-32)/1.8/((((C99+0.4*'Cooling Tower &amp; Corrugated Fill'!$C$12))-32)/1.8+243.04))))*(1061+0.444*((C99+0.4*'Cooling Tower &amp; Corrugated Fill'!$C$12))))-('Merkel Solver'!$C$4+'Cooling Tower &amp; Corrugated Fill'!$C$13*0.4*'Cooling Tower &amp; Corrugated Fill'!$C$12)</f>
        <v/>
      </c>
      <c r="F99" s="14">
        <f>(0.24*((C99+0.6*'Cooling Tower &amp; Corrugated Fill'!$C$12))+0.62198*(0.61094*EXP(17.625*(((C99+0.6*'Cooling Tower &amp; Corrugated Fill'!$C$12))-32)/1.8/((((C99+0.6*'Cooling Tower &amp; Corrugated Fill'!$C$12))-32)/1.8+243.04)))/('Cooling Tower &amp; Corrugated Fill'!$C$14-(0.61094*EXP(17.625*(((C99+0.6*'Cooling Tower &amp; Corrugated Fill'!$C$12))-32)/1.8/((((C99+0.6*'Cooling Tower &amp; Corrugated Fill'!$C$12))-32)/1.8+243.04))))*(1061+0.444*((C99+0.6*'Cooling Tower &amp; Corrugated Fill'!$C$12))))-('Merkel Solver'!$C$4+'Cooling Tower &amp; Corrugated Fill'!$C$13*0.6*'Cooling Tower &amp; Corrugated Fill'!$C$12)</f>
        <v/>
      </c>
      <c r="G99" s="14">
        <f>(0.24*((C99+0.9*'Cooling Tower &amp; Corrugated Fill'!$C$12))+0.62198*(0.61094*EXP(17.625*(((C99+0.9*'Cooling Tower &amp; Corrugated Fill'!$C$12))-32)/1.8/((((C99+0.9*'Cooling Tower &amp; Corrugated Fill'!$C$12))-32)/1.8+243.04)))/('Cooling Tower &amp; Corrugated Fill'!$C$14-(0.61094*EXP(17.625*(((C99+0.9*'Cooling Tower &amp; Corrugated Fill'!$C$12))-32)/1.8/((((C99+0.9*'Cooling Tower &amp; Corrugated Fill'!$C$12))-32)/1.8+243.04))))*(1061+0.444*((C99+0.9*'Cooling Tower &amp; Corrugated Fill'!$C$12))))-('Merkel Solver'!$C$4+'Cooling Tower &amp; Corrugated Fill'!$C$13*0.9*'Cooling Tower &amp; Corrugated Fill'!$C$12)</f>
        <v/>
      </c>
      <c r="H99" s="22">
        <f>IF(MIN(D99:G99)&lt;=0,99999,'Cooling Tower &amp; Corrugated Fill'!$C$12/4*(1/D99+1/E99+1/F99+1/G99))</f>
        <v/>
      </c>
    </row>
    <row r="100">
      <c r="B100" s="30" t="n">
        <v>9.4</v>
      </c>
      <c r="C100" s="12">
        <f>'Dashboard'!$C$9+B100</f>
        <v/>
      </c>
      <c r="D100" s="14">
        <f>(0.24*((C100+0.1*'Cooling Tower &amp; Corrugated Fill'!$C$12))+0.62198*(0.61094*EXP(17.625*(((C100+0.1*'Cooling Tower &amp; Corrugated Fill'!$C$12))-32)/1.8/((((C100+0.1*'Cooling Tower &amp; Corrugated Fill'!$C$12))-32)/1.8+243.04)))/('Cooling Tower &amp; Corrugated Fill'!$C$14-(0.61094*EXP(17.625*(((C100+0.1*'Cooling Tower &amp; Corrugated Fill'!$C$12))-32)/1.8/((((C100+0.1*'Cooling Tower &amp; Corrugated Fill'!$C$12))-32)/1.8+243.04))))*(1061+0.444*((C100+0.1*'Cooling Tower &amp; Corrugated Fill'!$C$12))))-('Merkel Solver'!$C$4+'Cooling Tower &amp; Corrugated Fill'!$C$13*0.1*'Cooling Tower &amp; Corrugated Fill'!$C$12)</f>
        <v/>
      </c>
      <c r="E100" s="14">
        <f>(0.24*((C100+0.4*'Cooling Tower &amp; Corrugated Fill'!$C$12))+0.62198*(0.61094*EXP(17.625*(((C100+0.4*'Cooling Tower &amp; Corrugated Fill'!$C$12))-32)/1.8/((((C100+0.4*'Cooling Tower &amp; Corrugated Fill'!$C$12))-32)/1.8+243.04)))/('Cooling Tower &amp; Corrugated Fill'!$C$14-(0.61094*EXP(17.625*(((C100+0.4*'Cooling Tower &amp; Corrugated Fill'!$C$12))-32)/1.8/((((C100+0.4*'Cooling Tower &amp; Corrugated Fill'!$C$12))-32)/1.8+243.04))))*(1061+0.444*((C100+0.4*'Cooling Tower &amp; Corrugated Fill'!$C$12))))-('Merkel Solver'!$C$4+'Cooling Tower &amp; Corrugated Fill'!$C$13*0.4*'Cooling Tower &amp; Corrugated Fill'!$C$12)</f>
        <v/>
      </c>
      <c r="F100" s="14">
        <f>(0.24*((C100+0.6*'Cooling Tower &amp; Corrugated Fill'!$C$12))+0.62198*(0.61094*EXP(17.625*(((C100+0.6*'Cooling Tower &amp; Corrugated Fill'!$C$12))-32)/1.8/((((C100+0.6*'Cooling Tower &amp; Corrugated Fill'!$C$12))-32)/1.8+243.04)))/('Cooling Tower &amp; Corrugated Fill'!$C$14-(0.61094*EXP(17.625*(((C100+0.6*'Cooling Tower &amp; Corrugated Fill'!$C$12))-32)/1.8/((((C100+0.6*'Cooling Tower &amp; Corrugated Fill'!$C$12))-32)/1.8+243.04))))*(1061+0.444*((C100+0.6*'Cooling Tower &amp; Corrugated Fill'!$C$12))))-('Merkel Solver'!$C$4+'Cooling Tower &amp; Corrugated Fill'!$C$13*0.6*'Cooling Tower &amp; Corrugated Fill'!$C$12)</f>
        <v/>
      </c>
      <c r="G100" s="14">
        <f>(0.24*((C100+0.9*'Cooling Tower &amp; Corrugated Fill'!$C$12))+0.62198*(0.61094*EXP(17.625*(((C100+0.9*'Cooling Tower &amp; Corrugated Fill'!$C$12))-32)/1.8/((((C100+0.9*'Cooling Tower &amp; Corrugated Fill'!$C$12))-32)/1.8+243.04)))/('Cooling Tower &amp; Corrugated Fill'!$C$14-(0.61094*EXP(17.625*(((C100+0.9*'Cooling Tower &amp; Corrugated Fill'!$C$12))-32)/1.8/((((C100+0.9*'Cooling Tower &amp; Corrugated Fill'!$C$12))-32)/1.8+243.04))))*(1061+0.444*((C100+0.9*'Cooling Tower &amp; Corrugated Fill'!$C$12))))-('Merkel Solver'!$C$4+'Cooling Tower &amp; Corrugated Fill'!$C$13*0.9*'Cooling Tower &amp; Corrugated Fill'!$C$12)</f>
        <v/>
      </c>
      <c r="H100" s="22">
        <f>IF(MIN(D100:G100)&lt;=0,99999,'Cooling Tower &amp; Corrugated Fill'!$C$12/4*(1/D100+1/E100+1/F100+1/G100))</f>
        <v/>
      </c>
    </row>
    <row r="101">
      <c r="B101" s="30" t="n">
        <v>9.5</v>
      </c>
      <c r="C101" s="12">
        <f>'Dashboard'!$C$9+B101</f>
        <v/>
      </c>
      <c r="D101" s="14">
        <f>(0.24*((C101+0.1*'Cooling Tower &amp; Corrugated Fill'!$C$12))+0.62198*(0.61094*EXP(17.625*(((C101+0.1*'Cooling Tower &amp; Corrugated Fill'!$C$12))-32)/1.8/((((C101+0.1*'Cooling Tower &amp; Corrugated Fill'!$C$12))-32)/1.8+243.04)))/('Cooling Tower &amp; Corrugated Fill'!$C$14-(0.61094*EXP(17.625*(((C101+0.1*'Cooling Tower &amp; Corrugated Fill'!$C$12))-32)/1.8/((((C101+0.1*'Cooling Tower &amp; Corrugated Fill'!$C$12))-32)/1.8+243.04))))*(1061+0.444*((C101+0.1*'Cooling Tower &amp; Corrugated Fill'!$C$12))))-('Merkel Solver'!$C$4+'Cooling Tower &amp; Corrugated Fill'!$C$13*0.1*'Cooling Tower &amp; Corrugated Fill'!$C$12)</f>
        <v/>
      </c>
      <c r="E101" s="14">
        <f>(0.24*((C101+0.4*'Cooling Tower &amp; Corrugated Fill'!$C$12))+0.62198*(0.61094*EXP(17.625*(((C101+0.4*'Cooling Tower &amp; Corrugated Fill'!$C$12))-32)/1.8/((((C101+0.4*'Cooling Tower &amp; Corrugated Fill'!$C$12))-32)/1.8+243.04)))/('Cooling Tower &amp; Corrugated Fill'!$C$14-(0.61094*EXP(17.625*(((C101+0.4*'Cooling Tower &amp; Corrugated Fill'!$C$12))-32)/1.8/((((C101+0.4*'Cooling Tower &amp; Corrugated Fill'!$C$12))-32)/1.8+243.04))))*(1061+0.444*((C101+0.4*'Cooling Tower &amp; Corrugated Fill'!$C$12))))-('Merkel Solver'!$C$4+'Cooling Tower &amp; Corrugated Fill'!$C$13*0.4*'Cooling Tower &amp; Corrugated Fill'!$C$12)</f>
        <v/>
      </c>
      <c r="F101" s="14">
        <f>(0.24*((C101+0.6*'Cooling Tower &amp; Corrugated Fill'!$C$12))+0.62198*(0.61094*EXP(17.625*(((C101+0.6*'Cooling Tower &amp; Corrugated Fill'!$C$12))-32)/1.8/((((C101+0.6*'Cooling Tower &amp; Corrugated Fill'!$C$12))-32)/1.8+243.04)))/('Cooling Tower &amp; Corrugated Fill'!$C$14-(0.61094*EXP(17.625*(((C101+0.6*'Cooling Tower &amp; Corrugated Fill'!$C$12))-32)/1.8/((((C101+0.6*'Cooling Tower &amp; Corrugated Fill'!$C$12))-32)/1.8+243.04))))*(1061+0.444*((C101+0.6*'Cooling Tower &amp; Corrugated Fill'!$C$12))))-('Merkel Solver'!$C$4+'Cooling Tower &amp; Corrugated Fill'!$C$13*0.6*'Cooling Tower &amp; Corrugated Fill'!$C$12)</f>
        <v/>
      </c>
      <c r="G101" s="14">
        <f>(0.24*((C101+0.9*'Cooling Tower &amp; Corrugated Fill'!$C$12))+0.62198*(0.61094*EXP(17.625*(((C101+0.9*'Cooling Tower &amp; Corrugated Fill'!$C$12))-32)/1.8/((((C101+0.9*'Cooling Tower &amp; Corrugated Fill'!$C$12))-32)/1.8+243.04)))/('Cooling Tower &amp; Corrugated Fill'!$C$14-(0.61094*EXP(17.625*(((C101+0.9*'Cooling Tower &amp; Corrugated Fill'!$C$12))-32)/1.8/((((C101+0.9*'Cooling Tower &amp; Corrugated Fill'!$C$12))-32)/1.8+243.04))))*(1061+0.444*((C101+0.9*'Cooling Tower &amp; Corrugated Fill'!$C$12))))-('Merkel Solver'!$C$4+'Cooling Tower &amp; Corrugated Fill'!$C$13*0.9*'Cooling Tower &amp; Corrugated Fill'!$C$12)</f>
        <v/>
      </c>
      <c r="H101" s="22">
        <f>IF(MIN(D101:G101)&lt;=0,99999,'Cooling Tower &amp; Corrugated Fill'!$C$12/4*(1/D101+1/E101+1/F101+1/G101))</f>
        <v/>
      </c>
    </row>
    <row r="102">
      <c r="B102" s="30" t="n">
        <v>9.6</v>
      </c>
      <c r="C102" s="12">
        <f>'Dashboard'!$C$9+B102</f>
        <v/>
      </c>
      <c r="D102" s="14">
        <f>(0.24*((C102+0.1*'Cooling Tower &amp; Corrugated Fill'!$C$12))+0.62198*(0.61094*EXP(17.625*(((C102+0.1*'Cooling Tower &amp; Corrugated Fill'!$C$12))-32)/1.8/((((C102+0.1*'Cooling Tower &amp; Corrugated Fill'!$C$12))-32)/1.8+243.04)))/('Cooling Tower &amp; Corrugated Fill'!$C$14-(0.61094*EXP(17.625*(((C102+0.1*'Cooling Tower &amp; Corrugated Fill'!$C$12))-32)/1.8/((((C102+0.1*'Cooling Tower &amp; Corrugated Fill'!$C$12))-32)/1.8+243.04))))*(1061+0.444*((C102+0.1*'Cooling Tower &amp; Corrugated Fill'!$C$12))))-('Merkel Solver'!$C$4+'Cooling Tower &amp; Corrugated Fill'!$C$13*0.1*'Cooling Tower &amp; Corrugated Fill'!$C$12)</f>
        <v/>
      </c>
      <c r="E102" s="14">
        <f>(0.24*((C102+0.4*'Cooling Tower &amp; Corrugated Fill'!$C$12))+0.62198*(0.61094*EXP(17.625*(((C102+0.4*'Cooling Tower &amp; Corrugated Fill'!$C$12))-32)/1.8/((((C102+0.4*'Cooling Tower &amp; Corrugated Fill'!$C$12))-32)/1.8+243.04)))/('Cooling Tower &amp; Corrugated Fill'!$C$14-(0.61094*EXP(17.625*(((C102+0.4*'Cooling Tower &amp; Corrugated Fill'!$C$12))-32)/1.8/((((C102+0.4*'Cooling Tower &amp; Corrugated Fill'!$C$12))-32)/1.8+243.04))))*(1061+0.444*((C102+0.4*'Cooling Tower &amp; Corrugated Fill'!$C$12))))-('Merkel Solver'!$C$4+'Cooling Tower &amp; Corrugated Fill'!$C$13*0.4*'Cooling Tower &amp; Corrugated Fill'!$C$12)</f>
        <v/>
      </c>
      <c r="F102" s="14">
        <f>(0.24*((C102+0.6*'Cooling Tower &amp; Corrugated Fill'!$C$12))+0.62198*(0.61094*EXP(17.625*(((C102+0.6*'Cooling Tower &amp; Corrugated Fill'!$C$12))-32)/1.8/((((C102+0.6*'Cooling Tower &amp; Corrugated Fill'!$C$12))-32)/1.8+243.04)))/('Cooling Tower &amp; Corrugated Fill'!$C$14-(0.61094*EXP(17.625*(((C102+0.6*'Cooling Tower &amp; Corrugated Fill'!$C$12))-32)/1.8/((((C102+0.6*'Cooling Tower &amp; Corrugated Fill'!$C$12))-32)/1.8+243.04))))*(1061+0.444*((C102+0.6*'Cooling Tower &amp; Corrugated Fill'!$C$12))))-('Merkel Solver'!$C$4+'Cooling Tower &amp; Corrugated Fill'!$C$13*0.6*'Cooling Tower &amp; Corrugated Fill'!$C$12)</f>
        <v/>
      </c>
      <c r="G102" s="14">
        <f>(0.24*((C102+0.9*'Cooling Tower &amp; Corrugated Fill'!$C$12))+0.62198*(0.61094*EXP(17.625*(((C102+0.9*'Cooling Tower &amp; Corrugated Fill'!$C$12))-32)/1.8/((((C102+0.9*'Cooling Tower &amp; Corrugated Fill'!$C$12))-32)/1.8+243.04)))/('Cooling Tower &amp; Corrugated Fill'!$C$14-(0.61094*EXP(17.625*(((C102+0.9*'Cooling Tower &amp; Corrugated Fill'!$C$12))-32)/1.8/((((C102+0.9*'Cooling Tower &amp; Corrugated Fill'!$C$12))-32)/1.8+243.04))))*(1061+0.444*((C102+0.9*'Cooling Tower &amp; Corrugated Fill'!$C$12))))-('Merkel Solver'!$C$4+'Cooling Tower &amp; Corrugated Fill'!$C$13*0.9*'Cooling Tower &amp; Corrugated Fill'!$C$12)</f>
        <v/>
      </c>
      <c r="H102" s="22">
        <f>IF(MIN(D102:G102)&lt;=0,99999,'Cooling Tower &amp; Corrugated Fill'!$C$12/4*(1/D102+1/E102+1/F102+1/G102))</f>
        <v/>
      </c>
    </row>
    <row r="103">
      <c r="B103" s="30" t="n">
        <v>9.699999999999999</v>
      </c>
      <c r="C103" s="12">
        <f>'Dashboard'!$C$9+B103</f>
        <v/>
      </c>
      <c r="D103" s="14">
        <f>(0.24*((C103+0.1*'Cooling Tower &amp; Corrugated Fill'!$C$12))+0.62198*(0.61094*EXP(17.625*(((C103+0.1*'Cooling Tower &amp; Corrugated Fill'!$C$12))-32)/1.8/((((C103+0.1*'Cooling Tower &amp; Corrugated Fill'!$C$12))-32)/1.8+243.04)))/('Cooling Tower &amp; Corrugated Fill'!$C$14-(0.61094*EXP(17.625*(((C103+0.1*'Cooling Tower &amp; Corrugated Fill'!$C$12))-32)/1.8/((((C103+0.1*'Cooling Tower &amp; Corrugated Fill'!$C$12))-32)/1.8+243.04))))*(1061+0.444*((C103+0.1*'Cooling Tower &amp; Corrugated Fill'!$C$12))))-('Merkel Solver'!$C$4+'Cooling Tower &amp; Corrugated Fill'!$C$13*0.1*'Cooling Tower &amp; Corrugated Fill'!$C$12)</f>
        <v/>
      </c>
      <c r="E103" s="14">
        <f>(0.24*((C103+0.4*'Cooling Tower &amp; Corrugated Fill'!$C$12))+0.62198*(0.61094*EXP(17.625*(((C103+0.4*'Cooling Tower &amp; Corrugated Fill'!$C$12))-32)/1.8/((((C103+0.4*'Cooling Tower &amp; Corrugated Fill'!$C$12))-32)/1.8+243.04)))/('Cooling Tower &amp; Corrugated Fill'!$C$14-(0.61094*EXP(17.625*(((C103+0.4*'Cooling Tower &amp; Corrugated Fill'!$C$12))-32)/1.8/((((C103+0.4*'Cooling Tower &amp; Corrugated Fill'!$C$12))-32)/1.8+243.04))))*(1061+0.444*((C103+0.4*'Cooling Tower &amp; Corrugated Fill'!$C$12))))-('Merkel Solver'!$C$4+'Cooling Tower &amp; Corrugated Fill'!$C$13*0.4*'Cooling Tower &amp; Corrugated Fill'!$C$12)</f>
        <v/>
      </c>
      <c r="F103" s="14">
        <f>(0.24*((C103+0.6*'Cooling Tower &amp; Corrugated Fill'!$C$12))+0.62198*(0.61094*EXP(17.625*(((C103+0.6*'Cooling Tower &amp; Corrugated Fill'!$C$12))-32)/1.8/((((C103+0.6*'Cooling Tower &amp; Corrugated Fill'!$C$12))-32)/1.8+243.04)))/('Cooling Tower &amp; Corrugated Fill'!$C$14-(0.61094*EXP(17.625*(((C103+0.6*'Cooling Tower &amp; Corrugated Fill'!$C$12))-32)/1.8/((((C103+0.6*'Cooling Tower &amp; Corrugated Fill'!$C$12))-32)/1.8+243.04))))*(1061+0.444*((C103+0.6*'Cooling Tower &amp; Corrugated Fill'!$C$12))))-('Merkel Solver'!$C$4+'Cooling Tower &amp; Corrugated Fill'!$C$13*0.6*'Cooling Tower &amp; Corrugated Fill'!$C$12)</f>
        <v/>
      </c>
      <c r="G103" s="14">
        <f>(0.24*((C103+0.9*'Cooling Tower &amp; Corrugated Fill'!$C$12))+0.62198*(0.61094*EXP(17.625*(((C103+0.9*'Cooling Tower &amp; Corrugated Fill'!$C$12))-32)/1.8/((((C103+0.9*'Cooling Tower &amp; Corrugated Fill'!$C$12))-32)/1.8+243.04)))/('Cooling Tower &amp; Corrugated Fill'!$C$14-(0.61094*EXP(17.625*(((C103+0.9*'Cooling Tower &amp; Corrugated Fill'!$C$12))-32)/1.8/((((C103+0.9*'Cooling Tower &amp; Corrugated Fill'!$C$12))-32)/1.8+243.04))))*(1061+0.444*((C103+0.9*'Cooling Tower &amp; Corrugated Fill'!$C$12))))-('Merkel Solver'!$C$4+'Cooling Tower &amp; Corrugated Fill'!$C$13*0.9*'Cooling Tower &amp; Corrugated Fill'!$C$12)</f>
        <v/>
      </c>
      <c r="H103" s="22">
        <f>IF(MIN(D103:G103)&lt;=0,99999,'Cooling Tower &amp; Corrugated Fill'!$C$12/4*(1/D103+1/E103+1/F103+1/G103))</f>
        <v/>
      </c>
    </row>
    <row r="104">
      <c r="B104" s="30" t="n">
        <v>9.800000000000001</v>
      </c>
      <c r="C104" s="12">
        <f>'Dashboard'!$C$9+B104</f>
        <v/>
      </c>
      <c r="D104" s="14">
        <f>(0.24*((C104+0.1*'Cooling Tower &amp; Corrugated Fill'!$C$12))+0.62198*(0.61094*EXP(17.625*(((C104+0.1*'Cooling Tower &amp; Corrugated Fill'!$C$12))-32)/1.8/((((C104+0.1*'Cooling Tower &amp; Corrugated Fill'!$C$12))-32)/1.8+243.04)))/('Cooling Tower &amp; Corrugated Fill'!$C$14-(0.61094*EXP(17.625*(((C104+0.1*'Cooling Tower &amp; Corrugated Fill'!$C$12))-32)/1.8/((((C104+0.1*'Cooling Tower &amp; Corrugated Fill'!$C$12))-32)/1.8+243.04))))*(1061+0.444*((C104+0.1*'Cooling Tower &amp; Corrugated Fill'!$C$12))))-('Merkel Solver'!$C$4+'Cooling Tower &amp; Corrugated Fill'!$C$13*0.1*'Cooling Tower &amp; Corrugated Fill'!$C$12)</f>
        <v/>
      </c>
      <c r="E104" s="14">
        <f>(0.24*((C104+0.4*'Cooling Tower &amp; Corrugated Fill'!$C$12))+0.62198*(0.61094*EXP(17.625*(((C104+0.4*'Cooling Tower &amp; Corrugated Fill'!$C$12))-32)/1.8/((((C104+0.4*'Cooling Tower &amp; Corrugated Fill'!$C$12))-32)/1.8+243.04)))/('Cooling Tower &amp; Corrugated Fill'!$C$14-(0.61094*EXP(17.625*(((C104+0.4*'Cooling Tower &amp; Corrugated Fill'!$C$12))-32)/1.8/((((C104+0.4*'Cooling Tower &amp; Corrugated Fill'!$C$12))-32)/1.8+243.04))))*(1061+0.444*((C104+0.4*'Cooling Tower &amp; Corrugated Fill'!$C$12))))-('Merkel Solver'!$C$4+'Cooling Tower &amp; Corrugated Fill'!$C$13*0.4*'Cooling Tower &amp; Corrugated Fill'!$C$12)</f>
        <v/>
      </c>
      <c r="F104" s="14">
        <f>(0.24*((C104+0.6*'Cooling Tower &amp; Corrugated Fill'!$C$12))+0.62198*(0.61094*EXP(17.625*(((C104+0.6*'Cooling Tower &amp; Corrugated Fill'!$C$12))-32)/1.8/((((C104+0.6*'Cooling Tower &amp; Corrugated Fill'!$C$12))-32)/1.8+243.04)))/('Cooling Tower &amp; Corrugated Fill'!$C$14-(0.61094*EXP(17.625*(((C104+0.6*'Cooling Tower &amp; Corrugated Fill'!$C$12))-32)/1.8/((((C104+0.6*'Cooling Tower &amp; Corrugated Fill'!$C$12))-32)/1.8+243.04))))*(1061+0.444*((C104+0.6*'Cooling Tower &amp; Corrugated Fill'!$C$12))))-('Merkel Solver'!$C$4+'Cooling Tower &amp; Corrugated Fill'!$C$13*0.6*'Cooling Tower &amp; Corrugated Fill'!$C$12)</f>
        <v/>
      </c>
      <c r="G104" s="14">
        <f>(0.24*((C104+0.9*'Cooling Tower &amp; Corrugated Fill'!$C$12))+0.62198*(0.61094*EXP(17.625*(((C104+0.9*'Cooling Tower &amp; Corrugated Fill'!$C$12))-32)/1.8/((((C104+0.9*'Cooling Tower &amp; Corrugated Fill'!$C$12))-32)/1.8+243.04)))/('Cooling Tower &amp; Corrugated Fill'!$C$14-(0.61094*EXP(17.625*(((C104+0.9*'Cooling Tower &amp; Corrugated Fill'!$C$12))-32)/1.8/((((C104+0.9*'Cooling Tower &amp; Corrugated Fill'!$C$12))-32)/1.8+243.04))))*(1061+0.444*((C104+0.9*'Cooling Tower &amp; Corrugated Fill'!$C$12))))-('Merkel Solver'!$C$4+'Cooling Tower &amp; Corrugated Fill'!$C$13*0.9*'Cooling Tower &amp; Corrugated Fill'!$C$12)</f>
        <v/>
      </c>
      <c r="H104" s="22">
        <f>IF(MIN(D104:G104)&lt;=0,99999,'Cooling Tower &amp; Corrugated Fill'!$C$12/4*(1/D104+1/E104+1/F104+1/G104))</f>
        <v/>
      </c>
    </row>
    <row r="105">
      <c r="B105" s="30" t="n">
        <v>9.9</v>
      </c>
      <c r="C105" s="12">
        <f>'Dashboard'!$C$9+B105</f>
        <v/>
      </c>
      <c r="D105" s="14">
        <f>(0.24*((C105+0.1*'Cooling Tower &amp; Corrugated Fill'!$C$12))+0.62198*(0.61094*EXP(17.625*(((C105+0.1*'Cooling Tower &amp; Corrugated Fill'!$C$12))-32)/1.8/((((C105+0.1*'Cooling Tower &amp; Corrugated Fill'!$C$12))-32)/1.8+243.04)))/('Cooling Tower &amp; Corrugated Fill'!$C$14-(0.61094*EXP(17.625*(((C105+0.1*'Cooling Tower &amp; Corrugated Fill'!$C$12))-32)/1.8/((((C105+0.1*'Cooling Tower &amp; Corrugated Fill'!$C$12))-32)/1.8+243.04))))*(1061+0.444*((C105+0.1*'Cooling Tower &amp; Corrugated Fill'!$C$12))))-('Merkel Solver'!$C$4+'Cooling Tower &amp; Corrugated Fill'!$C$13*0.1*'Cooling Tower &amp; Corrugated Fill'!$C$12)</f>
        <v/>
      </c>
      <c r="E105" s="14">
        <f>(0.24*((C105+0.4*'Cooling Tower &amp; Corrugated Fill'!$C$12))+0.62198*(0.61094*EXP(17.625*(((C105+0.4*'Cooling Tower &amp; Corrugated Fill'!$C$12))-32)/1.8/((((C105+0.4*'Cooling Tower &amp; Corrugated Fill'!$C$12))-32)/1.8+243.04)))/('Cooling Tower &amp; Corrugated Fill'!$C$14-(0.61094*EXP(17.625*(((C105+0.4*'Cooling Tower &amp; Corrugated Fill'!$C$12))-32)/1.8/((((C105+0.4*'Cooling Tower &amp; Corrugated Fill'!$C$12))-32)/1.8+243.04))))*(1061+0.444*((C105+0.4*'Cooling Tower &amp; Corrugated Fill'!$C$12))))-('Merkel Solver'!$C$4+'Cooling Tower &amp; Corrugated Fill'!$C$13*0.4*'Cooling Tower &amp; Corrugated Fill'!$C$12)</f>
        <v/>
      </c>
      <c r="F105" s="14">
        <f>(0.24*((C105+0.6*'Cooling Tower &amp; Corrugated Fill'!$C$12))+0.62198*(0.61094*EXP(17.625*(((C105+0.6*'Cooling Tower &amp; Corrugated Fill'!$C$12))-32)/1.8/((((C105+0.6*'Cooling Tower &amp; Corrugated Fill'!$C$12))-32)/1.8+243.04)))/('Cooling Tower &amp; Corrugated Fill'!$C$14-(0.61094*EXP(17.625*(((C105+0.6*'Cooling Tower &amp; Corrugated Fill'!$C$12))-32)/1.8/((((C105+0.6*'Cooling Tower &amp; Corrugated Fill'!$C$12))-32)/1.8+243.04))))*(1061+0.444*((C105+0.6*'Cooling Tower &amp; Corrugated Fill'!$C$12))))-('Merkel Solver'!$C$4+'Cooling Tower &amp; Corrugated Fill'!$C$13*0.6*'Cooling Tower &amp; Corrugated Fill'!$C$12)</f>
        <v/>
      </c>
      <c r="G105" s="14">
        <f>(0.24*((C105+0.9*'Cooling Tower &amp; Corrugated Fill'!$C$12))+0.62198*(0.61094*EXP(17.625*(((C105+0.9*'Cooling Tower &amp; Corrugated Fill'!$C$12))-32)/1.8/((((C105+0.9*'Cooling Tower &amp; Corrugated Fill'!$C$12))-32)/1.8+243.04)))/('Cooling Tower &amp; Corrugated Fill'!$C$14-(0.61094*EXP(17.625*(((C105+0.9*'Cooling Tower &amp; Corrugated Fill'!$C$12))-32)/1.8/((((C105+0.9*'Cooling Tower &amp; Corrugated Fill'!$C$12))-32)/1.8+243.04))))*(1061+0.444*((C105+0.9*'Cooling Tower &amp; Corrugated Fill'!$C$12))))-('Merkel Solver'!$C$4+'Cooling Tower &amp; Corrugated Fill'!$C$13*0.9*'Cooling Tower &amp; Corrugated Fill'!$C$12)</f>
        <v/>
      </c>
      <c r="H105" s="22">
        <f>IF(MIN(D105:G105)&lt;=0,99999,'Cooling Tower &amp; Corrugated Fill'!$C$12/4*(1/D105+1/E105+1/F105+1/G105))</f>
        <v/>
      </c>
    </row>
    <row r="106">
      <c r="B106" s="30" t="n">
        <v>10</v>
      </c>
      <c r="C106" s="12">
        <f>'Dashboard'!$C$9+B106</f>
        <v/>
      </c>
      <c r="D106" s="14">
        <f>(0.24*((C106+0.1*'Cooling Tower &amp; Corrugated Fill'!$C$12))+0.62198*(0.61094*EXP(17.625*(((C106+0.1*'Cooling Tower &amp; Corrugated Fill'!$C$12))-32)/1.8/((((C106+0.1*'Cooling Tower &amp; Corrugated Fill'!$C$12))-32)/1.8+243.04)))/('Cooling Tower &amp; Corrugated Fill'!$C$14-(0.61094*EXP(17.625*(((C106+0.1*'Cooling Tower &amp; Corrugated Fill'!$C$12))-32)/1.8/((((C106+0.1*'Cooling Tower &amp; Corrugated Fill'!$C$12))-32)/1.8+243.04))))*(1061+0.444*((C106+0.1*'Cooling Tower &amp; Corrugated Fill'!$C$12))))-('Merkel Solver'!$C$4+'Cooling Tower &amp; Corrugated Fill'!$C$13*0.1*'Cooling Tower &amp; Corrugated Fill'!$C$12)</f>
        <v/>
      </c>
      <c r="E106" s="14">
        <f>(0.24*((C106+0.4*'Cooling Tower &amp; Corrugated Fill'!$C$12))+0.62198*(0.61094*EXP(17.625*(((C106+0.4*'Cooling Tower &amp; Corrugated Fill'!$C$12))-32)/1.8/((((C106+0.4*'Cooling Tower &amp; Corrugated Fill'!$C$12))-32)/1.8+243.04)))/('Cooling Tower &amp; Corrugated Fill'!$C$14-(0.61094*EXP(17.625*(((C106+0.4*'Cooling Tower &amp; Corrugated Fill'!$C$12))-32)/1.8/((((C106+0.4*'Cooling Tower &amp; Corrugated Fill'!$C$12))-32)/1.8+243.04))))*(1061+0.444*((C106+0.4*'Cooling Tower &amp; Corrugated Fill'!$C$12))))-('Merkel Solver'!$C$4+'Cooling Tower &amp; Corrugated Fill'!$C$13*0.4*'Cooling Tower &amp; Corrugated Fill'!$C$12)</f>
        <v/>
      </c>
      <c r="F106" s="14">
        <f>(0.24*((C106+0.6*'Cooling Tower &amp; Corrugated Fill'!$C$12))+0.62198*(0.61094*EXP(17.625*(((C106+0.6*'Cooling Tower &amp; Corrugated Fill'!$C$12))-32)/1.8/((((C106+0.6*'Cooling Tower &amp; Corrugated Fill'!$C$12))-32)/1.8+243.04)))/('Cooling Tower &amp; Corrugated Fill'!$C$14-(0.61094*EXP(17.625*(((C106+0.6*'Cooling Tower &amp; Corrugated Fill'!$C$12))-32)/1.8/((((C106+0.6*'Cooling Tower &amp; Corrugated Fill'!$C$12))-32)/1.8+243.04))))*(1061+0.444*((C106+0.6*'Cooling Tower &amp; Corrugated Fill'!$C$12))))-('Merkel Solver'!$C$4+'Cooling Tower &amp; Corrugated Fill'!$C$13*0.6*'Cooling Tower &amp; Corrugated Fill'!$C$12)</f>
        <v/>
      </c>
      <c r="G106" s="14">
        <f>(0.24*((C106+0.9*'Cooling Tower &amp; Corrugated Fill'!$C$12))+0.62198*(0.61094*EXP(17.625*(((C106+0.9*'Cooling Tower &amp; Corrugated Fill'!$C$12))-32)/1.8/((((C106+0.9*'Cooling Tower &amp; Corrugated Fill'!$C$12))-32)/1.8+243.04)))/('Cooling Tower &amp; Corrugated Fill'!$C$14-(0.61094*EXP(17.625*(((C106+0.9*'Cooling Tower &amp; Corrugated Fill'!$C$12))-32)/1.8/((((C106+0.9*'Cooling Tower &amp; Corrugated Fill'!$C$12))-32)/1.8+243.04))))*(1061+0.444*((C106+0.9*'Cooling Tower &amp; Corrugated Fill'!$C$12))))-('Merkel Solver'!$C$4+'Cooling Tower &amp; Corrugated Fill'!$C$13*0.9*'Cooling Tower &amp; Corrugated Fill'!$C$12)</f>
        <v/>
      </c>
      <c r="H106" s="22">
        <f>IF(MIN(D106:G106)&lt;=0,99999,'Cooling Tower &amp; Corrugated Fill'!$C$12/4*(1/D106+1/E106+1/F106+1/G106))</f>
        <v/>
      </c>
    </row>
    <row r="107">
      <c r="B107" s="30" t="n">
        <v>10.1</v>
      </c>
      <c r="C107" s="12">
        <f>'Dashboard'!$C$9+B107</f>
        <v/>
      </c>
      <c r="D107" s="14">
        <f>(0.24*((C107+0.1*'Cooling Tower &amp; Corrugated Fill'!$C$12))+0.62198*(0.61094*EXP(17.625*(((C107+0.1*'Cooling Tower &amp; Corrugated Fill'!$C$12))-32)/1.8/((((C107+0.1*'Cooling Tower &amp; Corrugated Fill'!$C$12))-32)/1.8+243.04)))/('Cooling Tower &amp; Corrugated Fill'!$C$14-(0.61094*EXP(17.625*(((C107+0.1*'Cooling Tower &amp; Corrugated Fill'!$C$12))-32)/1.8/((((C107+0.1*'Cooling Tower &amp; Corrugated Fill'!$C$12))-32)/1.8+243.04))))*(1061+0.444*((C107+0.1*'Cooling Tower &amp; Corrugated Fill'!$C$12))))-('Merkel Solver'!$C$4+'Cooling Tower &amp; Corrugated Fill'!$C$13*0.1*'Cooling Tower &amp; Corrugated Fill'!$C$12)</f>
        <v/>
      </c>
      <c r="E107" s="14">
        <f>(0.24*((C107+0.4*'Cooling Tower &amp; Corrugated Fill'!$C$12))+0.62198*(0.61094*EXP(17.625*(((C107+0.4*'Cooling Tower &amp; Corrugated Fill'!$C$12))-32)/1.8/((((C107+0.4*'Cooling Tower &amp; Corrugated Fill'!$C$12))-32)/1.8+243.04)))/('Cooling Tower &amp; Corrugated Fill'!$C$14-(0.61094*EXP(17.625*(((C107+0.4*'Cooling Tower &amp; Corrugated Fill'!$C$12))-32)/1.8/((((C107+0.4*'Cooling Tower &amp; Corrugated Fill'!$C$12))-32)/1.8+243.04))))*(1061+0.444*((C107+0.4*'Cooling Tower &amp; Corrugated Fill'!$C$12))))-('Merkel Solver'!$C$4+'Cooling Tower &amp; Corrugated Fill'!$C$13*0.4*'Cooling Tower &amp; Corrugated Fill'!$C$12)</f>
        <v/>
      </c>
      <c r="F107" s="14">
        <f>(0.24*((C107+0.6*'Cooling Tower &amp; Corrugated Fill'!$C$12))+0.62198*(0.61094*EXP(17.625*(((C107+0.6*'Cooling Tower &amp; Corrugated Fill'!$C$12))-32)/1.8/((((C107+0.6*'Cooling Tower &amp; Corrugated Fill'!$C$12))-32)/1.8+243.04)))/('Cooling Tower &amp; Corrugated Fill'!$C$14-(0.61094*EXP(17.625*(((C107+0.6*'Cooling Tower &amp; Corrugated Fill'!$C$12))-32)/1.8/((((C107+0.6*'Cooling Tower &amp; Corrugated Fill'!$C$12))-32)/1.8+243.04))))*(1061+0.444*((C107+0.6*'Cooling Tower &amp; Corrugated Fill'!$C$12))))-('Merkel Solver'!$C$4+'Cooling Tower &amp; Corrugated Fill'!$C$13*0.6*'Cooling Tower &amp; Corrugated Fill'!$C$12)</f>
        <v/>
      </c>
      <c r="G107" s="14">
        <f>(0.24*((C107+0.9*'Cooling Tower &amp; Corrugated Fill'!$C$12))+0.62198*(0.61094*EXP(17.625*(((C107+0.9*'Cooling Tower &amp; Corrugated Fill'!$C$12))-32)/1.8/((((C107+0.9*'Cooling Tower &amp; Corrugated Fill'!$C$12))-32)/1.8+243.04)))/('Cooling Tower &amp; Corrugated Fill'!$C$14-(0.61094*EXP(17.625*(((C107+0.9*'Cooling Tower &amp; Corrugated Fill'!$C$12))-32)/1.8/((((C107+0.9*'Cooling Tower &amp; Corrugated Fill'!$C$12))-32)/1.8+243.04))))*(1061+0.444*((C107+0.9*'Cooling Tower &amp; Corrugated Fill'!$C$12))))-('Merkel Solver'!$C$4+'Cooling Tower &amp; Corrugated Fill'!$C$13*0.9*'Cooling Tower &amp; Corrugated Fill'!$C$12)</f>
        <v/>
      </c>
      <c r="H107" s="22">
        <f>IF(MIN(D107:G107)&lt;=0,99999,'Cooling Tower &amp; Corrugated Fill'!$C$12/4*(1/D107+1/E107+1/F107+1/G107))</f>
        <v/>
      </c>
    </row>
    <row r="108">
      <c r="B108" s="30" t="n">
        <v>10.2</v>
      </c>
      <c r="C108" s="12">
        <f>'Dashboard'!$C$9+B108</f>
        <v/>
      </c>
      <c r="D108" s="14">
        <f>(0.24*((C108+0.1*'Cooling Tower &amp; Corrugated Fill'!$C$12))+0.62198*(0.61094*EXP(17.625*(((C108+0.1*'Cooling Tower &amp; Corrugated Fill'!$C$12))-32)/1.8/((((C108+0.1*'Cooling Tower &amp; Corrugated Fill'!$C$12))-32)/1.8+243.04)))/('Cooling Tower &amp; Corrugated Fill'!$C$14-(0.61094*EXP(17.625*(((C108+0.1*'Cooling Tower &amp; Corrugated Fill'!$C$12))-32)/1.8/((((C108+0.1*'Cooling Tower &amp; Corrugated Fill'!$C$12))-32)/1.8+243.04))))*(1061+0.444*((C108+0.1*'Cooling Tower &amp; Corrugated Fill'!$C$12))))-('Merkel Solver'!$C$4+'Cooling Tower &amp; Corrugated Fill'!$C$13*0.1*'Cooling Tower &amp; Corrugated Fill'!$C$12)</f>
        <v/>
      </c>
      <c r="E108" s="14">
        <f>(0.24*((C108+0.4*'Cooling Tower &amp; Corrugated Fill'!$C$12))+0.62198*(0.61094*EXP(17.625*(((C108+0.4*'Cooling Tower &amp; Corrugated Fill'!$C$12))-32)/1.8/((((C108+0.4*'Cooling Tower &amp; Corrugated Fill'!$C$12))-32)/1.8+243.04)))/('Cooling Tower &amp; Corrugated Fill'!$C$14-(0.61094*EXP(17.625*(((C108+0.4*'Cooling Tower &amp; Corrugated Fill'!$C$12))-32)/1.8/((((C108+0.4*'Cooling Tower &amp; Corrugated Fill'!$C$12))-32)/1.8+243.04))))*(1061+0.444*((C108+0.4*'Cooling Tower &amp; Corrugated Fill'!$C$12))))-('Merkel Solver'!$C$4+'Cooling Tower &amp; Corrugated Fill'!$C$13*0.4*'Cooling Tower &amp; Corrugated Fill'!$C$12)</f>
        <v/>
      </c>
      <c r="F108" s="14">
        <f>(0.24*((C108+0.6*'Cooling Tower &amp; Corrugated Fill'!$C$12))+0.62198*(0.61094*EXP(17.625*(((C108+0.6*'Cooling Tower &amp; Corrugated Fill'!$C$12))-32)/1.8/((((C108+0.6*'Cooling Tower &amp; Corrugated Fill'!$C$12))-32)/1.8+243.04)))/('Cooling Tower &amp; Corrugated Fill'!$C$14-(0.61094*EXP(17.625*(((C108+0.6*'Cooling Tower &amp; Corrugated Fill'!$C$12))-32)/1.8/((((C108+0.6*'Cooling Tower &amp; Corrugated Fill'!$C$12))-32)/1.8+243.04))))*(1061+0.444*((C108+0.6*'Cooling Tower &amp; Corrugated Fill'!$C$12))))-('Merkel Solver'!$C$4+'Cooling Tower &amp; Corrugated Fill'!$C$13*0.6*'Cooling Tower &amp; Corrugated Fill'!$C$12)</f>
        <v/>
      </c>
      <c r="G108" s="14">
        <f>(0.24*((C108+0.9*'Cooling Tower &amp; Corrugated Fill'!$C$12))+0.62198*(0.61094*EXP(17.625*(((C108+0.9*'Cooling Tower &amp; Corrugated Fill'!$C$12))-32)/1.8/((((C108+0.9*'Cooling Tower &amp; Corrugated Fill'!$C$12))-32)/1.8+243.04)))/('Cooling Tower &amp; Corrugated Fill'!$C$14-(0.61094*EXP(17.625*(((C108+0.9*'Cooling Tower &amp; Corrugated Fill'!$C$12))-32)/1.8/((((C108+0.9*'Cooling Tower &amp; Corrugated Fill'!$C$12))-32)/1.8+243.04))))*(1061+0.444*((C108+0.9*'Cooling Tower &amp; Corrugated Fill'!$C$12))))-('Merkel Solver'!$C$4+'Cooling Tower &amp; Corrugated Fill'!$C$13*0.9*'Cooling Tower &amp; Corrugated Fill'!$C$12)</f>
        <v/>
      </c>
      <c r="H108" s="22">
        <f>IF(MIN(D108:G108)&lt;=0,99999,'Cooling Tower &amp; Corrugated Fill'!$C$12/4*(1/D108+1/E108+1/F108+1/G108))</f>
        <v/>
      </c>
    </row>
    <row r="109">
      <c r="B109" s="30" t="n">
        <v>10.3</v>
      </c>
      <c r="C109" s="12">
        <f>'Dashboard'!$C$9+B109</f>
        <v/>
      </c>
      <c r="D109" s="14">
        <f>(0.24*((C109+0.1*'Cooling Tower &amp; Corrugated Fill'!$C$12))+0.62198*(0.61094*EXP(17.625*(((C109+0.1*'Cooling Tower &amp; Corrugated Fill'!$C$12))-32)/1.8/((((C109+0.1*'Cooling Tower &amp; Corrugated Fill'!$C$12))-32)/1.8+243.04)))/('Cooling Tower &amp; Corrugated Fill'!$C$14-(0.61094*EXP(17.625*(((C109+0.1*'Cooling Tower &amp; Corrugated Fill'!$C$12))-32)/1.8/((((C109+0.1*'Cooling Tower &amp; Corrugated Fill'!$C$12))-32)/1.8+243.04))))*(1061+0.444*((C109+0.1*'Cooling Tower &amp; Corrugated Fill'!$C$12))))-('Merkel Solver'!$C$4+'Cooling Tower &amp; Corrugated Fill'!$C$13*0.1*'Cooling Tower &amp; Corrugated Fill'!$C$12)</f>
        <v/>
      </c>
      <c r="E109" s="14">
        <f>(0.24*((C109+0.4*'Cooling Tower &amp; Corrugated Fill'!$C$12))+0.62198*(0.61094*EXP(17.625*(((C109+0.4*'Cooling Tower &amp; Corrugated Fill'!$C$12))-32)/1.8/((((C109+0.4*'Cooling Tower &amp; Corrugated Fill'!$C$12))-32)/1.8+243.04)))/('Cooling Tower &amp; Corrugated Fill'!$C$14-(0.61094*EXP(17.625*(((C109+0.4*'Cooling Tower &amp; Corrugated Fill'!$C$12))-32)/1.8/((((C109+0.4*'Cooling Tower &amp; Corrugated Fill'!$C$12))-32)/1.8+243.04))))*(1061+0.444*((C109+0.4*'Cooling Tower &amp; Corrugated Fill'!$C$12))))-('Merkel Solver'!$C$4+'Cooling Tower &amp; Corrugated Fill'!$C$13*0.4*'Cooling Tower &amp; Corrugated Fill'!$C$12)</f>
        <v/>
      </c>
      <c r="F109" s="14">
        <f>(0.24*((C109+0.6*'Cooling Tower &amp; Corrugated Fill'!$C$12))+0.62198*(0.61094*EXP(17.625*(((C109+0.6*'Cooling Tower &amp; Corrugated Fill'!$C$12))-32)/1.8/((((C109+0.6*'Cooling Tower &amp; Corrugated Fill'!$C$12))-32)/1.8+243.04)))/('Cooling Tower &amp; Corrugated Fill'!$C$14-(0.61094*EXP(17.625*(((C109+0.6*'Cooling Tower &amp; Corrugated Fill'!$C$12))-32)/1.8/((((C109+0.6*'Cooling Tower &amp; Corrugated Fill'!$C$12))-32)/1.8+243.04))))*(1061+0.444*((C109+0.6*'Cooling Tower &amp; Corrugated Fill'!$C$12))))-('Merkel Solver'!$C$4+'Cooling Tower &amp; Corrugated Fill'!$C$13*0.6*'Cooling Tower &amp; Corrugated Fill'!$C$12)</f>
        <v/>
      </c>
      <c r="G109" s="14">
        <f>(0.24*((C109+0.9*'Cooling Tower &amp; Corrugated Fill'!$C$12))+0.62198*(0.61094*EXP(17.625*(((C109+0.9*'Cooling Tower &amp; Corrugated Fill'!$C$12))-32)/1.8/((((C109+0.9*'Cooling Tower &amp; Corrugated Fill'!$C$12))-32)/1.8+243.04)))/('Cooling Tower &amp; Corrugated Fill'!$C$14-(0.61094*EXP(17.625*(((C109+0.9*'Cooling Tower &amp; Corrugated Fill'!$C$12))-32)/1.8/((((C109+0.9*'Cooling Tower &amp; Corrugated Fill'!$C$12))-32)/1.8+243.04))))*(1061+0.444*((C109+0.9*'Cooling Tower &amp; Corrugated Fill'!$C$12))))-('Merkel Solver'!$C$4+'Cooling Tower &amp; Corrugated Fill'!$C$13*0.9*'Cooling Tower &amp; Corrugated Fill'!$C$12)</f>
        <v/>
      </c>
      <c r="H109" s="22">
        <f>IF(MIN(D109:G109)&lt;=0,99999,'Cooling Tower &amp; Corrugated Fill'!$C$12/4*(1/D109+1/E109+1/F109+1/G109))</f>
        <v/>
      </c>
    </row>
    <row r="110">
      <c r="B110" s="30" t="n">
        <v>10.4</v>
      </c>
      <c r="C110" s="12">
        <f>'Dashboard'!$C$9+B110</f>
        <v/>
      </c>
      <c r="D110" s="14">
        <f>(0.24*((C110+0.1*'Cooling Tower &amp; Corrugated Fill'!$C$12))+0.62198*(0.61094*EXP(17.625*(((C110+0.1*'Cooling Tower &amp; Corrugated Fill'!$C$12))-32)/1.8/((((C110+0.1*'Cooling Tower &amp; Corrugated Fill'!$C$12))-32)/1.8+243.04)))/('Cooling Tower &amp; Corrugated Fill'!$C$14-(0.61094*EXP(17.625*(((C110+0.1*'Cooling Tower &amp; Corrugated Fill'!$C$12))-32)/1.8/((((C110+0.1*'Cooling Tower &amp; Corrugated Fill'!$C$12))-32)/1.8+243.04))))*(1061+0.444*((C110+0.1*'Cooling Tower &amp; Corrugated Fill'!$C$12))))-('Merkel Solver'!$C$4+'Cooling Tower &amp; Corrugated Fill'!$C$13*0.1*'Cooling Tower &amp; Corrugated Fill'!$C$12)</f>
        <v/>
      </c>
      <c r="E110" s="14">
        <f>(0.24*((C110+0.4*'Cooling Tower &amp; Corrugated Fill'!$C$12))+0.62198*(0.61094*EXP(17.625*(((C110+0.4*'Cooling Tower &amp; Corrugated Fill'!$C$12))-32)/1.8/((((C110+0.4*'Cooling Tower &amp; Corrugated Fill'!$C$12))-32)/1.8+243.04)))/('Cooling Tower &amp; Corrugated Fill'!$C$14-(0.61094*EXP(17.625*(((C110+0.4*'Cooling Tower &amp; Corrugated Fill'!$C$12))-32)/1.8/((((C110+0.4*'Cooling Tower &amp; Corrugated Fill'!$C$12))-32)/1.8+243.04))))*(1061+0.444*((C110+0.4*'Cooling Tower &amp; Corrugated Fill'!$C$12))))-('Merkel Solver'!$C$4+'Cooling Tower &amp; Corrugated Fill'!$C$13*0.4*'Cooling Tower &amp; Corrugated Fill'!$C$12)</f>
        <v/>
      </c>
      <c r="F110" s="14">
        <f>(0.24*((C110+0.6*'Cooling Tower &amp; Corrugated Fill'!$C$12))+0.62198*(0.61094*EXP(17.625*(((C110+0.6*'Cooling Tower &amp; Corrugated Fill'!$C$12))-32)/1.8/((((C110+0.6*'Cooling Tower &amp; Corrugated Fill'!$C$12))-32)/1.8+243.04)))/('Cooling Tower &amp; Corrugated Fill'!$C$14-(0.61094*EXP(17.625*(((C110+0.6*'Cooling Tower &amp; Corrugated Fill'!$C$12))-32)/1.8/((((C110+0.6*'Cooling Tower &amp; Corrugated Fill'!$C$12))-32)/1.8+243.04))))*(1061+0.444*((C110+0.6*'Cooling Tower &amp; Corrugated Fill'!$C$12))))-('Merkel Solver'!$C$4+'Cooling Tower &amp; Corrugated Fill'!$C$13*0.6*'Cooling Tower &amp; Corrugated Fill'!$C$12)</f>
        <v/>
      </c>
      <c r="G110" s="14">
        <f>(0.24*((C110+0.9*'Cooling Tower &amp; Corrugated Fill'!$C$12))+0.62198*(0.61094*EXP(17.625*(((C110+0.9*'Cooling Tower &amp; Corrugated Fill'!$C$12))-32)/1.8/((((C110+0.9*'Cooling Tower &amp; Corrugated Fill'!$C$12))-32)/1.8+243.04)))/('Cooling Tower &amp; Corrugated Fill'!$C$14-(0.61094*EXP(17.625*(((C110+0.9*'Cooling Tower &amp; Corrugated Fill'!$C$12))-32)/1.8/((((C110+0.9*'Cooling Tower &amp; Corrugated Fill'!$C$12))-32)/1.8+243.04))))*(1061+0.444*((C110+0.9*'Cooling Tower &amp; Corrugated Fill'!$C$12))))-('Merkel Solver'!$C$4+'Cooling Tower &amp; Corrugated Fill'!$C$13*0.9*'Cooling Tower &amp; Corrugated Fill'!$C$12)</f>
        <v/>
      </c>
      <c r="H110" s="22">
        <f>IF(MIN(D110:G110)&lt;=0,99999,'Cooling Tower &amp; Corrugated Fill'!$C$12/4*(1/D110+1/E110+1/F110+1/G110))</f>
        <v/>
      </c>
    </row>
    <row r="111">
      <c r="B111" s="30" t="n">
        <v>10.5</v>
      </c>
      <c r="C111" s="12">
        <f>'Dashboard'!$C$9+B111</f>
        <v/>
      </c>
      <c r="D111" s="14">
        <f>(0.24*((C111+0.1*'Cooling Tower &amp; Corrugated Fill'!$C$12))+0.62198*(0.61094*EXP(17.625*(((C111+0.1*'Cooling Tower &amp; Corrugated Fill'!$C$12))-32)/1.8/((((C111+0.1*'Cooling Tower &amp; Corrugated Fill'!$C$12))-32)/1.8+243.04)))/('Cooling Tower &amp; Corrugated Fill'!$C$14-(0.61094*EXP(17.625*(((C111+0.1*'Cooling Tower &amp; Corrugated Fill'!$C$12))-32)/1.8/((((C111+0.1*'Cooling Tower &amp; Corrugated Fill'!$C$12))-32)/1.8+243.04))))*(1061+0.444*((C111+0.1*'Cooling Tower &amp; Corrugated Fill'!$C$12))))-('Merkel Solver'!$C$4+'Cooling Tower &amp; Corrugated Fill'!$C$13*0.1*'Cooling Tower &amp; Corrugated Fill'!$C$12)</f>
        <v/>
      </c>
      <c r="E111" s="14">
        <f>(0.24*((C111+0.4*'Cooling Tower &amp; Corrugated Fill'!$C$12))+0.62198*(0.61094*EXP(17.625*(((C111+0.4*'Cooling Tower &amp; Corrugated Fill'!$C$12))-32)/1.8/((((C111+0.4*'Cooling Tower &amp; Corrugated Fill'!$C$12))-32)/1.8+243.04)))/('Cooling Tower &amp; Corrugated Fill'!$C$14-(0.61094*EXP(17.625*(((C111+0.4*'Cooling Tower &amp; Corrugated Fill'!$C$12))-32)/1.8/((((C111+0.4*'Cooling Tower &amp; Corrugated Fill'!$C$12))-32)/1.8+243.04))))*(1061+0.444*((C111+0.4*'Cooling Tower &amp; Corrugated Fill'!$C$12))))-('Merkel Solver'!$C$4+'Cooling Tower &amp; Corrugated Fill'!$C$13*0.4*'Cooling Tower &amp; Corrugated Fill'!$C$12)</f>
        <v/>
      </c>
      <c r="F111" s="14">
        <f>(0.24*((C111+0.6*'Cooling Tower &amp; Corrugated Fill'!$C$12))+0.62198*(0.61094*EXP(17.625*(((C111+0.6*'Cooling Tower &amp; Corrugated Fill'!$C$12))-32)/1.8/((((C111+0.6*'Cooling Tower &amp; Corrugated Fill'!$C$12))-32)/1.8+243.04)))/('Cooling Tower &amp; Corrugated Fill'!$C$14-(0.61094*EXP(17.625*(((C111+0.6*'Cooling Tower &amp; Corrugated Fill'!$C$12))-32)/1.8/((((C111+0.6*'Cooling Tower &amp; Corrugated Fill'!$C$12))-32)/1.8+243.04))))*(1061+0.444*((C111+0.6*'Cooling Tower &amp; Corrugated Fill'!$C$12))))-('Merkel Solver'!$C$4+'Cooling Tower &amp; Corrugated Fill'!$C$13*0.6*'Cooling Tower &amp; Corrugated Fill'!$C$12)</f>
        <v/>
      </c>
      <c r="G111" s="14">
        <f>(0.24*((C111+0.9*'Cooling Tower &amp; Corrugated Fill'!$C$12))+0.62198*(0.61094*EXP(17.625*(((C111+0.9*'Cooling Tower &amp; Corrugated Fill'!$C$12))-32)/1.8/((((C111+0.9*'Cooling Tower &amp; Corrugated Fill'!$C$12))-32)/1.8+243.04)))/('Cooling Tower &amp; Corrugated Fill'!$C$14-(0.61094*EXP(17.625*(((C111+0.9*'Cooling Tower &amp; Corrugated Fill'!$C$12))-32)/1.8/((((C111+0.9*'Cooling Tower &amp; Corrugated Fill'!$C$12))-32)/1.8+243.04))))*(1061+0.444*((C111+0.9*'Cooling Tower &amp; Corrugated Fill'!$C$12))))-('Merkel Solver'!$C$4+'Cooling Tower &amp; Corrugated Fill'!$C$13*0.9*'Cooling Tower &amp; Corrugated Fill'!$C$12)</f>
        <v/>
      </c>
      <c r="H111" s="22">
        <f>IF(MIN(D111:G111)&lt;=0,99999,'Cooling Tower &amp; Corrugated Fill'!$C$12/4*(1/D111+1/E111+1/F111+1/G111))</f>
        <v/>
      </c>
    </row>
    <row r="112">
      <c r="B112" s="30" t="n">
        <v>10.6</v>
      </c>
      <c r="C112" s="12">
        <f>'Dashboard'!$C$9+B112</f>
        <v/>
      </c>
      <c r="D112" s="14">
        <f>(0.24*((C112+0.1*'Cooling Tower &amp; Corrugated Fill'!$C$12))+0.62198*(0.61094*EXP(17.625*(((C112+0.1*'Cooling Tower &amp; Corrugated Fill'!$C$12))-32)/1.8/((((C112+0.1*'Cooling Tower &amp; Corrugated Fill'!$C$12))-32)/1.8+243.04)))/('Cooling Tower &amp; Corrugated Fill'!$C$14-(0.61094*EXP(17.625*(((C112+0.1*'Cooling Tower &amp; Corrugated Fill'!$C$12))-32)/1.8/((((C112+0.1*'Cooling Tower &amp; Corrugated Fill'!$C$12))-32)/1.8+243.04))))*(1061+0.444*((C112+0.1*'Cooling Tower &amp; Corrugated Fill'!$C$12))))-('Merkel Solver'!$C$4+'Cooling Tower &amp; Corrugated Fill'!$C$13*0.1*'Cooling Tower &amp; Corrugated Fill'!$C$12)</f>
        <v/>
      </c>
      <c r="E112" s="14">
        <f>(0.24*((C112+0.4*'Cooling Tower &amp; Corrugated Fill'!$C$12))+0.62198*(0.61094*EXP(17.625*(((C112+0.4*'Cooling Tower &amp; Corrugated Fill'!$C$12))-32)/1.8/((((C112+0.4*'Cooling Tower &amp; Corrugated Fill'!$C$12))-32)/1.8+243.04)))/('Cooling Tower &amp; Corrugated Fill'!$C$14-(0.61094*EXP(17.625*(((C112+0.4*'Cooling Tower &amp; Corrugated Fill'!$C$12))-32)/1.8/((((C112+0.4*'Cooling Tower &amp; Corrugated Fill'!$C$12))-32)/1.8+243.04))))*(1061+0.444*((C112+0.4*'Cooling Tower &amp; Corrugated Fill'!$C$12))))-('Merkel Solver'!$C$4+'Cooling Tower &amp; Corrugated Fill'!$C$13*0.4*'Cooling Tower &amp; Corrugated Fill'!$C$12)</f>
        <v/>
      </c>
      <c r="F112" s="14">
        <f>(0.24*((C112+0.6*'Cooling Tower &amp; Corrugated Fill'!$C$12))+0.62198*(0.61094*EXP(17.625*(((C112+0.6*'Cooling Tower &amp; Corrugated Fill'!$C$12))-32)/1.8/((((C112+0.6*'Cooling Tower &amp; Corrugated Fill'!$C$12))-32)/1.8+243.04)))/('Cooling Tower &amp; Corrugated Fill'!$C$14-(0.61094*EXP(17.625*(((C112+0.6*'Cooling Tower &amp; Corrugated Fill'!$C$12))-32)/1.8/((((C112+0.6*'Cooling Tower &amp; Corrugated Fill'!$C$12))-32)/1.8+243.04))))*(1061+0.444*((C112+0.6*'Cooling Tower &amp; Corrugated Fill'!$C$12))))-('Merkel Solver'!$C$4+'Cooling Tower &amp; Corrugated Fill'!$C$13*0.6*'Cooling Tower &amp; Corrugated Fill'!$C$12)</f>
        <v/>
      </c>
      <c r="G112" s="14">
        <f>(0.24*((C112+0.9*'Cooling Tower &amp; Corrugated Fill'!$C$12))+0.62198*(0.61094*EXP(17.625*(((C112+0.9*'Cooling Tower &amp; Corrugated Fill'!$C$12))-32)/1.8/((((C112+0.9*'Cooling Tower &amp; Corrugated Fill'!$C$12))-32)/1.8+243.04)))/('Cooling Tower &amp; Corrugated Fill'!$C$14-(0.61094*EXP(17.625*(((C112+0.9*'Cooling Tower &amp; Corrugated Fill'!$C$12))-32)/1.8/((((C112+0.9*'Cooling Tower &amp; Corrugated Fill'!$C$12))-32)/1.8+243.04))))*(1061+0.444*((C112+0.9*'Cooling Tower &amp; Corrugated Fill'!$C$12))))-('Merkel Solver'!$C$4+'Cooling Tower &amp; Corrugated Fill'!$C$13*0.9*'Cooling Tower &amp; Corrugated Fill'!$C$12)</f>
        <v/>
      </c>
      <c r="H112" s="22">
        <f>IF(MIN(D112:G112)&lt;=0,99999,'Cooling Tower &amp; Corrugated Fill'!$C$12/4*(1/D112+1/E112+1/F112+1/G112))</f>
        <v/>
      </c>
    </row>
    <row r="113">
      <c r="B113" s="30" t="n">
        <v>10.7</v>
      </c>
      <c r="C113" s="12">
        <f>'Dashboard'!$C$9+B113</f>
        <v/>
      </c>
      <c r="D113" s="14">
        <f>(0.24*((C113+0.1*'Cooling Tower &amp; Corrugated Fill'!$C$12))+0.62198*(0.61094*EXP(17.625*(((C113+0.1*'Cooling Tower &amp; Corrugated Fill'!$C$12))-32)/1.8/((((C113+0.1*'Cooling Tower &amp; Corrugated Fill'!$C$12))-32)/1.8+243.04)))/('Cooling Tower &amp; Corrugated Fill'!$C$14-(0.61094*EXP(17.625*(((C113+0.1*'Cooling Tower &amp; Corrugated Fill'!$C$12))-32)/1.8/((((C113+0.1*'Cooling Tower &amp; Corrugated Fill'!$C$12))-32)/1.8+243.04))))*(1061+0.444*((C113+0.1*'Cooling Tower &amp; Corrugated Fill'!$C$12))))-('Merkel Solver'!$C$4+'Cooling Tower &amp; Corrugated Fill'!$C$13*0.1*'Cooling Tower &amp; Corrugated Fill'!$C$12)</f>
        <v/>
      </c>
      <c r="E113" s="14">
        <f>(0.24*((C113+0.4*'Cooling Tower &amp; Corrugated Fill'!$C$12))+0.62198*(0.61094*EXP(17.625*(((C113+0.4*'Cooling Tower &amp; Corrugated Fill'!$C$12))-32)/1.8/((((C113+0.4*'Cooling Tower &amp; Corrugated Fill'!$C$12))-32)/1.8+243.04)))/('Cooling Tower &amp; Corrugated Fill'!$C$14-(0.61094*EXP(17.625*(((C113+0.4*'Cooling Tower &amp; Corrugated Fill'!$C$12))-32)/1.8/((((C113+0.4*'Cooling Tower &amp; Corrugated Fill'!$C$12))-32)/1.8+243.04))))*(1061+0.444*((C113+0.4*'Cooling Tower &amp; Corrugated Fill'!$C$12))))-('Merkel Solver'!$C$4+'Cooling Tower &amp; Corrugated Fill'!$C$13*0.4*'Cooling Tower &amp; Corrugated Fill'!$C$12)</f>
        <v/>
      </c>
      <c r="F113" s="14">
        <f>(0.24*((C113+0.6*'Cooling Tower &amp; Corrugated Fill'!$C$12))+0.62198*(0.61094*EXP(17.625*(((C113+0.6*'Cooling Tower &amp; Corrugated Fill'!$C$12))-32)/1.8/((((C113+0.6*'Cooling Tower &amp; Corrugated Fill'!$C$12))-32)/1.8+243.04)))/('Cooling Tower &amp; Corrugated Fill'!$C$14-(0.61094*EXP(17.625*(((C113+0.6*'Cooling Tower &amp; Corrugated Fill'!$C$12))-32)/1.8/((((C113+0.6*'Cooling Tower &amp; Corrugated Fill'!$C$12))-32)/1.8+243.04))))*(1061+0.444*((C113+0.6*'Cooling Tower &amp; Corrugated Fill'!$C$12))))-('Merkel Solver'!$C$4+'Cooling Tower &amp; Corrugated Fill'!$C$13*0.6*'Cooling Tower &amp; Corrugated Fill'!$C$12)</f>
        <v/>
      </c>
      <c r="G113" s="14">
        <f>(0.24*((C113+0.9*'Cooling Tower &amp; Corrugated Fill'!$C$12))+0.62198*(0.61094*EXP(17.625*(((C113+0.9*'Cooling Tower &amp; Corrugated Fill'!$C$12))-32)/1.8/((((C113+0.9*'Cooling Tower &amp; Corrugated Fill'!$C$12))-32)/1.8+243.04)))/('Cooling Tower &amp; Corrugated Fill'!$C$14-(0.61094*EXP(17.625*(((C113+0.9*'Cooling Tower &amp; Corrugated Fill'!$C$12))-32)/1.8/((((C113+0.9*'Cooling Tower &amp; Corrugated Fill'!$C$12))-32)/1.8+243.04))))*(1061+0.444*((C113+0.9*'Cooling Tower &amp; Corrugated Fill'!$C$12))))-('Merkel Solver'!$C$4+'Cooling Tower &amp; Corrugated Fill'!$C$13*0.9*'Cooling Tower &amp; Corrugated Fill'!$C$12)</f>
        <v/>
      </c>
      <c r="H113" s="22">
        <f>IF(MIN(D113:G113)&lt;=0,99999,'Cooling Tower &amp; Corrugated Fill'!$C$12/4*(1/D113+1/E113+1/F113+1/G113))</f>
        <v/>
      </c>
    </row>
    <row r="114">
      <c r="B114" s="30" t="n">
        <v>10.8</v>
      </c>
      <c r="C114" s="12">
        <f>'Dashboard'!$C$9+B114</f>
        <v/>
      </c>
      <c r="D114" s="14">
        <f>(0.24*((C114+0.1*'Cooling Tower &amp; Corrugated Fill'!$C$12))+0.62198*(0.61094*EXP(17.625*(((C114+0.1*'Cooling Tower &amp; Corrugated Fill'!$C$12))-32)/1.8/((((C114+0.1*'Cooling Tower &amp; Corrugated Fill'!$C$12))-32)/1.8+243.04)))/('Cooling Tower &amp; Corrugated Fill'!$C$14-(0.61094*EXP(17.625*(((C114+0.1*'Cooling Tower &amp; Corrugated Fill'!$C$12))-32)/1.8/((((C114+0.1*'Cooling Tower &amp; Corrugated Fill'!$C$12))-32)/1.8+243.04))))*(1061+0.444*((C114+0.1*'Cooling Tower &amp; Corrugated Fill'!$C$12))))-('Merkel Solver'!$C$4+'Cooling Tower &amp; Corrugated Fill'!$C$13*0.1*'Cooling Tower &amp; Corrugated Fill'!$C$12)</f>
        <v/>
      </c>
      <c r="E114" s="14">
        <f>(0.24*((C114+0.4*'Cooling Tower &amp; Corrugated Fill'!$C$12))+0.62198*(0.61094*EXP(17.625*(((C114+0.4*'Cooling Tower &amp; Corrugated Fill'!$C$12))-32)/1.8/((((C114+0.4*'Cooling Tower &amp; Corrugated Fill'!$C$12))-32)/1.8+243.04)))/('Cooling Tower &amp; Corrugated Fill'!$C$14-(0.61094*EXP(17.625*(((C114+0.4*'Cooling Tower &amp; Corrugated Fill'!$C$12))-32)/1.8/((((C114+0.4*'Cooling Tower &amp; Corrugated Fill'!$C$12))-32)/1.8+243.04))))*(1061+0.444*((C114+0.4*'Cooling Tower &amp; Corrugated Fill'!$C$12))))-('Merkel Solver'!$C$4+'Cooling Tower &amp; Corrugated Fill'!$C$13*0.4*'Cooling Tower &amp; Corrugated Fill'!$C$12)</f>
        <v/>
      </c>
      <c r="F114" s="14">
        <f>(0.24*((C114+0.6*'Cooling Tower &amp; Corrugated Fill'!$C$12))+0.62198*(0.61094*EXP(17.625*(((C114+0.6*'Cooling Tower &amp; Corrugated Fill'!$C$12))-32)/1.8/((((C114+0.6*'Cooling Tower &amp; Corrugated Fill'!$C$12))-32)/1.8+243.04)))/('Cooling Tower &amp; Corrugated Fill'!$C$14-(0.61094*EXP(17.625*(((C114+0.6*'Cooling Tower &amp; Corrugated Fill'!$C$12))-32)/1.8/((((C114+0.6*'Cooling Tower &amp; Corrugated Fill'!$C$12))-32)/1.8+243.04))))*(1061+0.444*((C114+0.6*'Cooling Tower &amp; Corrugated Fill'!$C$12))))-('Merkel Solver'!$C$4+'Cooling Tower &amp; Corrugated Fill'!$C$13*0.6*'Cooling Tower &amp; Corrugated Fill'!$C$12)</f>
        <v/>
      </c>
      <c r="G114" s="14">
        <f>(0.24*((C114+0.9*'Cooling Tower &amp; Corrugated Fill'!$C$12))+0.62198*(0.61094*EXP(17.625*(((C114+0.9*'Cooling Tower &amp; Corrugated Fill'!$C$12))-32)/1.8/((((C114+0.9*'Cooling Tower &amp; Corrugated Fill'!$C$12))-32)/1.8+243.04)))/('Cooling Tower &amp; Corrugated Fill'!$C$14-(0.61094*EXP(17.625*(((C114+0.9*'Cooling Tower &amp; Corrugated Fill'!$C$12))-32)/1.8/((((C114+0.9*'Cooling Tower &amp; Corrugated Fill'!$C$12))-32)/1.8+243.04))))*(1061+0.444*((C114+0.9*'Cooling Tower &amp; Corrugated Fill'!$C$12))))-('Merkel Solver'!$C$4+'Cooling Tower &amp; Corrugated Fill'!$C$13*0.9*'Cooling Tower &amp; Corrugated Fill'!$C$12)</f>
        <v/>
      </c>
      <c r="H114" s="22">
        <f>IF(MIN(D114:G114)&lt;=0,99999,'Cooling Tower &amp; Corrugated Fill'!$C$12/4*(1/D114+1/E114+1/F114+1/G114))</f>
        <v/>
      </c>
    </row>
    <row r="115">
      <c r="B115" s="30" t="n">
        <v>10.9</v>
      </c>
      <c r="C115" s="12">
        <f>'Dashboard'!$C$9+B115</f>
        <v/>
      </c>
      <c r="D115" s="14">
        <f>(0.24*((C115+0.1*'Cooling Tower &amp; Corrugated Fill'!$C$12))+0.62198*(0.61094*EXP(17.625*(((C115+0.1*'Cooling Tower &amp; Corrugated Fill'!$C$12))-32)/1.8/((((C115+0.1*'Cooling Tower &amp; Corrugated Fill'!$C$12))-32)/1.8+243.04)))/('Cooling Tower &amp; Corrugated Fill'!$C$14-(0.61094*EXP(17.625*(((C115+0.1*'Cooling Tower &amp; Corrugated Fill'!$C$12))-32)/1.8/((((C115+0.1*'Cooling Tower &amp; Corrugated Fill'!$C$12))-32)/1.8+243.04))))*(1061+0.444*((C115+0.1*'Cooling Tower &amp; Corrugated Fill'!$C$12))))-('Merkel Solver'!$C$4+'Cooling Tower &amp; Corrugated Fill'!$C$13*0.1*'Cooling Tower &amp; Corrugated Fill'!$C$12)</f>
        <v/>
      </c>
      <c r="E115" s="14">
        <f>(0.24*((C115+0.4*'Cooling Tower &amp; Corrugated Fill'!$C$12))+0.62198*(0.61094*EXP(17.625*(((C115+0.4*'Cooling Tower &amp; Corrugated Fill'!$C$12))-32)/1.8/((((C115+0.4*'Cooling Tower &amp; Corrugated Fill'!$C$12))-32)/1.8+243.04)))/('Cooling Tower &amp; Corrugated Fill'!$C$14-(0.61094*EXP(17.625*(((C115+0.4*'Cooling Tower &amp; Corrugated Fill'!$C$12))-32)/1.8/((((C115+0.4*'Cooling Tower &amp; Corrugated Fill'!$C$12))-32)/1.8+243.04))))*(1061+0.444*((C115+0.4*'Cooling Tower &amp; Corrugated Fill'!$C$12))))-('Merkel Solver'!$C$4+'Cooling Tower &amp; Corrugated Fill'!$C$13*0.4*'Cooling Tower &amp; Corrugated Fill'!$C$12)</f>
        <v/>
      </c>
      <c r="F115" s="14">
        <f>(0.24*((C115+0.6*'Cooling Tower &amp; Corrugated Fill'!$C$12))+0.62198*(0.61094*EXP(17.625*(((C115+0.6*'Cooling Tower &amp; Corrugated Fill'!$C$12))-32)/1.8/((((C115+0.6*'Cooling Tower &amp; Corrugated Fill'!$C$12))-32)/1.8+243.04)))/('Cooling Tower &amp; Corrugated Fill'!$C$14-(0.61094*EXP(17.625*(((C115+0.6*'Cooling Tower &amp; Corrugated Fill'!$C$12))-32)/1.8/((((C115+0.6*'Cooling Tower &amp; Corrugated Fill'!$C$12))-32)/1.8+243.04))))*(1061+0.444*((C115+0.6*'Cooling Tower &amp; Corrugated Fill'!$C$12))))-('Merkel Solver'!$C$4+'Cooling Tower &amp; Corrugated Fill'!$C$13*0.6*'Cooling Tower &amp; Corrugated Fill'!$C$12)</f>
        <v/>
      </c>
      <c r="G115" s="14">
        <f>(0.24*((C115+0.9*'Cooling Tower &amp; Corrugated Fill'!$C$12))+0.62198*(0.61094*EXP(17.625*(((C115+0.9*'Cooling Tower &amp; Corrugated Fill'!$C$12))-32)/1.8/((((C115+0.9*'Cooling Tower &amp; Corrugated Fill'!$C$12))-32)/1.8+243.04)))/('Cooling Tower &amp; Corrugated Fill'!$C$14-(0.61094*EXP(17.625*(((C115+0.9*'Cooling Tower &amp; Corrugated Fill'!$C$12))-32)/1.8/((((C115+0.9*'Cooling Tower &amp; Corrugated Fill'!$C$12))-32)/1.8+243.04))))*(1061+0.444*((C115+0.9*'Cooling Tower &amp; Corrugated Fill'!$C$12))))-('Merkel Solver'!$C$4+'Cooling Tower &amp; Corrugated Fill'!$C$13*0.9*'Cooling Tower &amp; Corrugated Fill'!$C$12)</f>
        <v/>
      </c>
      <c r="H115" s="22">
        <f>IF(MIN(D115:G115)&lt;=0,99999,'Cooling Tower &amp; Corrugated Fill'!$C$12/4*(1/D115+1/E115+1/F115+1/G115))</f>
        <v/>
      </c>
    </row>
    <row r="116">
      <c r="B116" s="30" t="n">
        <v>11</v>
      </c>
      <c r="C116" s="12">
        <f>'Dashboard'!$C$9+B116</f>
        <v/>
      </c>
      <c r="D116" s="14">
        <f>(0.24*((C116+0.1*'Cooling Tower &amp; Corrugated Fill'!$C$12))+0.62198*(0.61094*EXP(17.625*(((C116+0.1*'Cooling Tower &amp; Corrugated Fill'!$C$12))-32)/1.8/((((C116+0.1*'Cooling Tower &amp; Corrugated Fill'!$C$12))-32)/1.8+243.04)))/('Cooling Tower &amp; Corrugated Fill'!$C$14-(0.61094*EXP(17.625*(((C116+0.1*'Cooling Tower &amp; Corrugated Fill'!$C$12))-32)/1.8/((((C116+0.1*'Cooling Tower &amp; Corrugated Fill'!$C$12))-32)/1.8+243.04))))*(1061+0.444*((C116+0.1*'Cooling Tower &amp; Corrugated Fill'!$C$12))))-('Merkel Solver'!$C$4+'Cooling Tower &amp; Corrugated Fill'!$C$13*0.1*'Cooling Tower &amp; Corrugated Fill'!$C$12)</f>
        <v/>
      </c>
      <c r="E116" s="14">
        <f>(0.24*((C116+0.4*'Cooling Tower &amp; Corrugated Fill'!$C$12))+0.62198*(0.61094*EXP(17.625*(((C116+0.4*'Cooling Tower &amp; Corrugated Fill'!$C$12))-32)/1.8/((((C116+0.4*'Cooling Tower &amp; Corrugated Fill'!$C$12))-32)/1.8+243.04)))/('Cooling Tower &amp; Corrugated Fill'!$C$14-(0.61094*EXP(17.625*(((C116+0.4*'Cooling Tower &amp; Corrugated Fill'!$C$12))-32)/1.8/((((C116+0.4*'Cooling Tower &amp; Corrugated Fill'!$C$12))-32)/1.8+243.04))))*(1061+0.444*((C116+0.4*'Cooling Tower &amp; Corrugated Fill'!$C$12))))-('Merkel Solver'!$C$4+'Cooling Tower &amp; Corrugated Fill'!$C$13*0.4*'Cooling Tower &amp; Corrugated Fill'!$C$12)</f>
        <v/>
      </c>
      <c r="F116" s="14">
        <f>(0.24*((C116+0.6*'Cooling Tower &amp; Corrugated Fill'!$C$12))+0.62198*(0.61094*EXP(17.625*(((C116+0.6*'Cooling Tower &amp; Corrugated Fill'!$C$12))-32)/1.8/((((C116+0.6*'Cooling Tower &amp; Corrugated Fill'!$C$12))-32)/1.8+243.04)))/('Cooling Tower &amp; Corrugated Fill'!$C$14-(0.61094*EXP(17.625*(((C116+0.6*'Cooling Tower &amp; Corrugated Fill'!$C$12))-32)/1.8/((((C116+0.6*'Cooling Tower &amp; Corrugated Fill'!$C$12))-32)/1.8+243.04))))*(1061+0.444*((C116+0.6*'Cooling Tower &amp; Corrugated Fill'!$C$12))))-('Merkel Solver'!$C$4+'Cooling Tower &amp; Corrugated Fill'!$C$13*0.6*'Cooling Tower &amp; Corrugated Fill'!$C$12)</f>
        <v/>
      </c>
      <c r="G116" s="14">
        <f>(0.24*((C116+0.9*'Cooling Tower &amp; Corrugated Fill'!$C$12))+0.62198*(0.61094*EXP(17.625*(((C116+0.9*'Cooling Tower &amp; Corrugated Fill'!$C$12))-32)/1.8/((((C116+0.9*'Cooling Tower &amp; Corrugated Fill'!$C$12))-32)/1.8+243.04)))/('Cooling Tower &amp; Corrugated Fill'!$C$14-(0.61094*EXP(17.625*(((C116+0.9*'Cooling Tower &amp; Corrugated Fill'!$C$12))-32)/1.8/((((C116+0.9*'Cooling Tower &amp; Corrugated Fill'!$C$12))-32)/1.8+243.04))))*(1061+0.444*((C116+0.9*'Cooling Tower &amp; Corrugated Fill'!$C$12))))-('Merkel Solver'!$C$4+'Cooling Tower &amp; Corrugated Fill'!$C$13*0.9*'Cooling Tower &amp; Corrugated Fill'!$C$12)</f>
        <v/>
      </c>
      <c r="H116" s="22">
        <f>IF(MIN(D116:G116)&lt;=0,99999,'Cooling Tower &amp; Corrugated Fill'!$C$12/4*(1/D116+1/E116+1/F116+1/G116))</f>
        <v/>
      </c>
    </row>
    <row r="117">
      <c r="B117" s="30" t="n">
        <v>11.1</v>
      </c>
      <c r="C117" s="12">
        <f>'Dashboard'!$C$9+B117</f>
        <v/>
      </c>
      <c r="D117" s="14">
        <f>(0.24*((C117+0.1*'Cooling Tower &amp; Corrugated Fill'!$C$12))+0.62198*(0.61094*EXP(17.625*(((C117+0.1*'Cooling Tower &amp; Corrugated Fill'!$C$12))-32)/1.8/((((C117+0.1*'Cooling Tower &amp; Corrugated Fill'!$C$12))-32)/1.8+243.04)))/('Cooling Tower &amp; Corrugated Fill'!$C$14-(0.61094*EXP(17.625*(((C117+0.1*'Cooling Tower &amp; Corrugated Fill'!$C$12))-32)/1.8/((((C117+0.1*'Cooling Tower &amp; Corrugated Fill'!$C$12))-32)/1.8+243.04))))*(1061+0.444*((C117+0.1*'Cooling Tower &amp; Corrugated Fill'!$C$12))))-('Merkel Solver'!$C$4+'Cooling Tower &amp; Corrugated Fill'!$C$13*0.1*'Cooling Tower &amp; Corrugated Fill'!$C$12)</f>
        <v/>
      </c>
      <c r="E117" s="14">
        <f>(0.24*((C117+0.4*'Cooling Tower &amp; Corrugated Fill'!$C$12))+0.62198*(0.61094*EXP(17.625*(((C117+0.4*'Cooling Tower &amp; Corrugated Fill'!$C$12))-32)/1.8/((((C117+0.4*'Cooling Tower &amp; Corrugated Fill'!$C$12))-32)/1.8+243.04)))/('Cooling Tower &amp; Corrugated Fill'!$C$14-(0.61094*EXP(17.625*(((C117+0.4*'Cooling Tower &amp; Corrugated Fill'!$C$12))-32)/1.8/((((C117+0.4*'Cooling Tower &amp; Corrugated Fill'!$C$12))-32)/1.8+243.04))))*(1061+0.444*((C117+0.4*'Cooling Tower &amp; Corrugated Fill'!$C$12))))-('Merkel Solver'!$C$4+'Cooling Tower &amp; Corrugated Fill'!$C$13*0.4*'Cooling Tower &amp; Corrugated Fill'!$C$12)</f>
        <v/>
      </c>
      <c r="F117" s="14">
        <f>(0.24*((C117+0.6*'Cooling Tower &amp; Corrugated Fill'!$C$12))+0.62198*(0.61094*EXP(17.625*(((C117+0.6*'Cooling Tower &amp; Corrugated Fill'!$C$12))-32)/1.8/((((C117+0.6*'Cooling Tower &amp; Corrugated Fill'!$C$12))-32)/1.8+243.04)))/('Cooling Tower &amp; Corrugated Fill'!$C$14-(0.61094*EXP(17.625*(((C117+0.6*'Cooling Tower &amp; Corrugated Fill'!$C$12))-32)/1.8/((((C117+0.6*'Cooling Tower &amp; Corrugated Fill'!$C$12))-32)/1.8+243.04))))*(1061+0.444*((C117+0.6*'Cooling Tower &amp; Corrugated Fill'!$C$12))))-('Merkel Solver'!$C$4+'Cooling Tower &amp; Corrugated Fill'!$C$13*0.6*'Cooling Tower &amp; Corrugated Fill'!$C$12)</f>
        <v/>
      </c>
      <c r="G117" s="14">
        <f>(0.24*((C117+0.9*'Cooling Tower &amp; Corrugated Fill'!$C$12))+0.62198*(0.61094*EXP(17.625*(((C117+0.9*'Cooling Tower &amp; Corrugated Fill'!$C$12))-32)/1.8/((((C117+0.9*'Cooling Tower &amp; Corrugated Fill'!$C$12))-32)/1.8+243.04)))/('Cooling Tower &amp; Corrugated Fill'!$C$14-(0.61094*EXP(17.625*(((C117+0.9*'Cooling Tower &amp; Corrugated Fill'!$C$12))-32)/1.8/((((C117+0.9*'Cooling Tower &amp; Corrugated Fill'!$C$12))-32)/1.8+243.04))))*(1061+0.444*((C117+0.9*'Cooling Tower &amp; Corrugated Fill'!$C$12))))-('Merkel Solver'!$C$4+'Cooling Tower &amp; Corrugated Fill'!$C$13*0.9*'Cooling Tower &amp; Corrugated Fill'!$C$12)</f>
        <v/>
      </c>
      <c r="H117" s="22">
        <f>IF(MIN(D117:G117)&lt;=0,99999,'Cooling Tower &amp; Corrugated Fill'!$C$12/4*(1/D117+1/E117+1/F117+1/G117))</f>
        <v/>
      </c>
    </row>
    <row r="118">
      <c r="B118" s="30" t="n">
        <v>11.2</v>
      </c>
      <c r="C118" s="12">
        <f>'Dashboard'!$C$9+B118</f>
        <v/>
      </c>
      <c r="D118" s="14">
        <f>(0.24*((C118+0.1*'Cooling Tower &amp; Corrugated Fill'!$C$12))+0.62198*(0.61094*EXP(17.625*(((C118+0.1*'Cooling Tower &amp; Corrugated Fill'!$C$12))-32)/1.8/((((C118+0.1*'Cooling Tower &amp; Corrugated Fill'!$C$12))-32)/1.8+243.04)))/('Cooling Tower &amp; Corrugated Fill'!$C$14-(0.61094*EXP(17.625*(((C118+0.1*'Cooling Tower &amp; Corrugated Fill'!$C$12))-32)/1.8/((((C118+0.1*'Cooling Tower &amp; Corrugated Fill'!$C$12))-32)/1.8+243.04))))*(1061+0.444*((C118+0.1*'Cooling Tower &amp; Corrugated Fill'!$C$12))))-('Merkel Solver'!$C$4+'Cooling Tower &amp; Corrugated Fill'!$C$13*0.1*'Cooling Tower &amp; Corrugated Fill'!$C$12)</f>
        <v/>
      </c>
      <c r="E118" s="14">
        <f>(0.24*((C118+0.4*'Cooling Tower &amp; Corrugated Fill'!$C$12))+0.62198*(0.61094*EXP(17.625*(((C118+0.4*'Cooling Tower &amp; Corrugated Fill'!$C$12))-32)/1.8/((((C118+0.4*'Cooling Tower &amp; Corrugated Fill'!$C$12))-32)/1.8+243.04)))/('Cooling Tower &amp; Corrugated Fill'!$C$14-(0.61094*EXP(17.625*(((C118+0.4*'Cooling Tower &amp; Corrugated Fill'!$C$12))-32)/1.8/((((C118+0.4*'Cooling Tower &amp; Corrugated Fill'!$C$12))-32)/1.8+243.04))))*(1061+0.444*((C118+0.4*'Cooling Tower &amp; Corrugated Fill'!$C$12))))-('Merkel Solver'!$C$4+'Cooling Tower &amp; Corrugated Fill'!$C$13*0.4*'Cooling Tower &amp; Corrugated Fill'!$C$12)</f>
        <v/>
      </c>
      <c r="F118" s="14">
        <f>(0.24*((C118+0.6*'Cooling Tower &amp; Corrugated Fill'!$C$12))+0.62198*(0.61094*EXP(17.625*(((C118+0.6*'Cooling Tower &amp; Corrugated Fill'!$C$12))-32)/1.8/((((C118+0.6*'Cooling Tower &amp; Corrugated Fill'!$C$12))-32)/1.8+243.04)))/('Cooling Tower &amp; Corrugated Fill'!$C$14-(0.61094*EXP(17.625*(((C118+0.6*'Cooling Tower &amp; Corrugated Fill'!$C$12))-32)/1.8/((((C118+0.6*'Cooling Tower &amp; Corrugated Fill'!$C$12))-32)/1.8+243.04))))*(1061+0.444*((C118+0.6*'Cooling Tower &amp; Corrugated Fill'!$C$12))))-('Merkel Solver'!$C$4+'Cooling Tower &amp; Corrugated Fill'!$C$13*0.6*'Cooling Tower &amp; Corrugated Fill'!$C$12)</f>
        <v/>
      </c>
      <c r="G118" s="14">
        <f>(0.24*((C118+0.9*'Cooling Tower &amp; Corrugated Fill'!$C$12))+0.62198*(0.61094*EXP(17.625*(((C118+0.9*'Cooling Tower &amp; Corrugated Fill'!$C$12))-32)/1.8/((((C118+0.9*'Cooling Tower &amp; Corrugated Fill'!$C$12))-32)/1.8+243.04)))/('Cooling Tower &amp; Corrugated Fill'!$C$14-(0.61094*EXP(17.625*(((C118+0.9*'Cooling Tower &amp; Corrugated Fill'!$C$12))-32)/1.8/((((C118+0.9*'Cooling Tower &amp; Corrugated Fill'!$C$12))-32)/1.8+243.04))))*(1061+0.444*((C118+0.9*'Cooling Tower &amp; Corrugated Fill'!$C$12))))-('Merkel Solver'!$C$4+'Cooling Tower &amp; Corrugated Fill'!$C$13*0.9*'Cooling Tower &amp; Corrugated Fill'!$C$12)</f>
        <v/>
      </c>
      <c r="H118" s="22">
        <f>IF(MIN(D118:G118)&lt;=0,99999,'Cooling Tower &amp; Corrugated Fill'!$C$12/4*(1/D118+1/E118+1/F118+1/G118))</f>
        <v/>
      </c>
    </row>
    <row r="119">
      <c r="B119" s="30" t="n">
        <v>11.3</v>
      </c>
      <c r="C119" s="12">
        <f>'Dashboard'!$C$9+B119</f>
        <v/>
      </c>
      <c r="D119" s="14">
        <f>(0.24*((C119+0.1*'Cooling Tower &amp; Corrugated Fill'!$C$12))+0.62198*(0.61094*EXP(17.625*(((C119+0.1*'Cooling Tower &amp; Corrugated Fill'!$C$12))-32)/1.8/((((C119+0.1*'Cooling Tower &amp; Corrugated Fill'!$C$12))-32)/1.8+243.04)))/('Cooling Tower &amp; Corrugated Fill'!$C$14-(0.61094*EXP(17.625*(((C119+0.1*'Cooling Tower &amp; Corrugated Fill'!$C$12))-32)/1.8/((((C119+0.1*'Cooling Tower &amp; Corrugated Fill'!$C$12))-32)/1.8+243.04))))*(1061+0.444*((C119+0.1*'Cooling Tower &amp; Corrugated Fill'!$C$12))))-('Merkel Solver'!$C$4+'Cooling Tower &amp; Corrugated Fill'!$C$13*0.1*'Cooling Tower &amp; Corrugated Fill'!$C$12)</f>
        <v/>
      </c>
      <c r="E119" s="14">
        <f>(0.24*((C119+0.4*'Cooling Tower &amp; Corrugated Fill'!$C$12))+0.62198*(0.61094*EXP(17.625*(((C119+0.4*'Cooling Tower &amp; Corrugated Fill'!$C$12))-32)/1.8/((((C119+0.4*'Cooling Tower &amp; Corrugated Fill'!$C$12))-32)/1.8+243.04)))/('Cooling Tower &amp; Corrugated Fill'!$C$14-(0.61094*EXP(17.625*(((C119+0.4*'Cooling Tower &amp; Corrugated Fill'!$C$12))-32)/1.8/((((C119+0.4*'Cooling Tower &amp; Corrugated Fill'!$C$12))-32)/1.8+243.04))))*(1061+0.444*((C119+0.4*'Cooling Tower &amp; Corrugated Fill'!$C$12))))-('Merkel Solver'!$C$4+'Cooling Tower &amp; Corrugated Fill'!$C$13*0.4*'Cooling Tower &amp; Corrugated Fill'!$C$12)</f>
        <v/>
      </c>
      <c r="F119" s="14">
        <f>(0.24*((C119+0.6*'Cooling Tower &amp; Corrugated Fill'!$C$12))+0.62198*(0.61094*EXP(17.625*(((C119+0.6*'Cooling Tower &amp; Corrugated Fill'!$C$12))-32)/1.8/((((C119+0.6*'Cooling Tower &amp; Corrugated Fill'!$C$12))-32)/1.8+243.04)))/('Cooling Tower &amp; Corrugated Fill'!$C$14-(0.61094*EXP(17.625*(((C119+0.6*'Cooling Tower &amp; Corrugated Fill'!$C$12))-32)/1.8/((((C119+0.6*'Cooling Tower &amp; Corrugated Fill'!$C$12))-32)/1.8+243.04))))*(1061+0.444*((C119+0.6*'Cooling Tower &amp; Corrugated Fill'!$C$12))))-('Merkel Solver'!$C$4+'Cooling Tower &amp; Corrugated Fill'!$C$13*0.6*'Cooling Tower &amp; Corrugated Fill'!$C$12)</f>
        <v/>
      </c>
      <c r="G119" s="14">
        <f>(0.24*((C119+0.9*'Cooling Tower &amp; Corrugated Fill'!$C$12))+0.62198*(0.61094*EXP(17.625*(((C119+0.9*'Cooling Tower &amp; Corrugated Fill'!$C$12))-32)/1.8/((((C119+0.9*'Cooling Tower &amp; Corrugated Fill'!$C$12))-32)/1.8+243.04)))/('Cooling Tower &amp; Corrugated Fill'!$C$14-(0.61094*EXP(17.625*(((C119+0.9*'Cooling Tower &amp; Corrugated Fill'!$C$12))-32)/1.8/((((C119+0.9*'Cooling Tower &amp; Corrugated Fill'!$C$12))-32)/1.8+243.04))))*(1061+0.444*((C119+0.9*'Cooling Tower &amp; Corrugated Fill'!$C$12))))-('Merkel Solver'!$C$4+'Cooling Tower &amp; Corrugated Fill'!$C$13*0.9*'Cooling Tower &amp; Corrugated Fill'!$C$12)</f>
        <v/>
      </c>
      <c r="H119" s="22">
        <f>IF(MIN(D119:G119)&lt;=0,99999,'Cooling Tower &amp; Corrugated Fill'!$C$12/4*(1/D119+1/E119+1/F119+1/G119))</f>
        <v/>
      </c>
    </row>
    <row r="120">
      <c r="B120" s="30" t="n">
        <v>11.4</v>
      </c>
      <c r="C120" s="12">
        <f>'Dashboard'!$C$9+B120</f>
        <v/>
      </c>
      <c r="D120" s="14">
        <f>(0.24*((C120+0.1*'Cooling Tower &amp; Corrugated Fill'!$C$12))+0.62198*(0.61094*EXP(17.625*(((C120+0.1*'Cooling Tower &amp; Corrugated Fill'!$C$12))-32)/1.8/((((C120+0.1*'Cooling Tower &amp; Corrugated Fill'!$C$12))-32)/1.8+243.04)))/('Cooling Tower &amp; Corrugated Fill'!$C$14-(0.61094*EXP(17.625*(((C120+0.1*'Cooling Tower &amp; Corrugated Fill'!$C$12))-32)/1.8/((((C120+0.1*'Cooling Tower &amp; Corrugated Fill'!$C$12))-32)/1.8+243.04))))*(1061+0.444*((C120+0.1*'Cooling Tower &amp; Corrugated Fill'!$C$12))))-('Merkel Solver'!$C$4+'Cooling Tower &amp; Corrugated Fill'!$C$13*0.1*'Cooling Tower &amp; Corrugated Fill'!$C$12)</f>
        <v/>
      </c>
      <c r="E120" s="14">
        <f>(0.24*((C120+0.4*'Cooling Tower &amp; Corrugated Fill'!$C$12))+0.62198*(0.61094*EXP(17.625*(((C120+0.4*'Cooling Tower &amp; Corrugated Fill'!$C$12))-32)/1.8/((((C120+0.4*'Cooling Tower &amp; Corrugated Fill'!$C$12))-32)/1.8+243.04)))/('Cooling Tower &amp; Corrugated Fill'!$C$14-(0.61094*EXP(17.625*(((C120+0.4*'Cooling Tower &amp; Corrugated Fill'!$C$12))-32)/1.8/((((C120+0.4*'Cooling Tower &amp; Corrugated Fill'!$C$12))-32)/1.8+243.04))))*(1061+0.444*((C120+0.4*'Cooling Tower &amp; Corrugated Fill'!$C$12))))-('Merkel Solver'!$C$4+'Cooling Tower &amp; Corrugated Fill'!$C$13*0.4*'Cooling Tower &amp; Corrugated Fill'!$C$12)</f>
        <v/>
      </c>
      <c r="F120" s="14">
        <f>(0.24*((C120+0.6*'Cooling Tower &amp; Corrugated Fill'!$C$12))+0.62198*(0.61094*EXP(17.625*(((C120+0.6*'Cooling Tower &amp; Corrugated Fill'!$C$12))-32)/1.8/((((C120+0.6*'Cooling Tower &amp; Corrugated Fill'!$C$12))-32)/1.8+243.04)))/('Cooling Tower &amp; Corrugated Fill'!$C$14-(0.61094*EXP(17.625*(((C120+0.6*'Cooling Tower &amp; Corrugated Fill'!$C$12))-32)/1.8/((((C120+0.6*'Cooling Tower &amp; Corrugated Fill'!$C$12))-32)/1.8+243.04))))*(1061+0.444*((C120+0.6*'Cooling Tower &amp; Corrugated Fill'!$C$12))))-('Merkel Solver'!$C$4+'Cooling Tower &amp; Corrugated Fill'!$C$13*0.6*'Cooling Tower &amp; Corrugated Fill'!$C$12)</f>
        <v/>
      </c>
      <c r="G120" s="14">
        <f>(0.24*((C120+0.9*'Cooling Tower &amp; Corrugated Fill'!$C$12))+0.62198*(0.61094*EXP(17.625*(((C120+0.9*'Cooling Tower &amp; Corrugated Fill'!$C$12))-32)/1.8/((((C120+0.9*'Cooling Tower &amp; Corrugated Fill'!$C$12))-32)/1.8+243.04)))/('Cooling Tower &amp; Corrugated Fill'!$C$14-(0.61094*EXP(17.625*(((C120+0.9*'Cooling Tower &amp; Corrugated Fill'!$C$12))-32)/1.8/((((C120+0.9*'Cooling Tower &amp; Corrugated Fill'!$C$12))-32)/1.8+243.04))))*(1061+0.444*((C120+0.9*'Cooling Tower &amp; Corrugated Fill'!$C$12))))-('Merkel Solver'!$C$4+'Cooling Tower &amp; Corrugated Fill'!$C$13*0.9*'Cooling Tower &amp; Corrugated Fill'!$C$12)</f>
        <v/>
      </c>
      <c r="H120" s="22">
        <f>IF(MIN(D120:G120)&lt;=0,99999,'Cooling Tower &amp; Corrugated Fill'!$C$12/4*(1/D120+1/E120+1/F120+1/G120))</f>
        <v/>
      </c>
    </row>
    <row r="121">
      <c r="B121" s="30" t="n">
        <v>11.5</v>
      </c>
      <c r="C121" s="12">
        <f>'Dashboard'!$C$9+B121</f>
        <v/>
      </c>
      <c r="D121" s="14">
        <f>(0.24*((C121+0.1*'Cooling Tower &amp; Corrugated Fill'!$C$12))+0.62198*(0.61094*EXP(17.625*(((C121+0.1*'Cooling Tower &amp; Corrugated Fill'!$C$12))-32)/1.8/((((C121+0.1*'Cooling Tower &amp; Corrugated Fill'!$C$12))-32)/1.8+243.04)))/('Cooling Tower &amp; Corrugated Fill'!$C$14-(0.61094*EXP(17.625*(((C121+0.1*'Cooling Tower &amp; Corrugated Fill'!$C$12))-32)/1.8/((((C121+0.1*'Cooling Tower &amp; Corrugated Fill'!$C$12))-32)/1.8+243.04))))*(1061+0.444*((C121+0.1*'Cooling Tower &amp; Corrugated Fill'!$C$12))))-('Merkel Solver'!$C$4+'Cooling Tower &amp; Corrugated Fill'!$C$13*0.1*'Cooling Tower &amp; Corrugated Fill'!$C$12)</f>
        <v/>
      </c>
      <c r="E121" s="14">
        <f>(0.24*((C121+0.4*'Cooling Tower &amp; Corrugated Fill'!$C$12))+0.62198*(0.61094*EXP(17.625*(((C121+0.4*'Cooling Tower &amp; Corrugated Fill'!$C$12))-32)/1.8/((((C121+0.4*'Cooling Tower &amp; Corrugated Fill'!$C$12))-32)/1.8+243.04)))/('Cooling Tower &amp; Corrugated Fill'!$C$14-(0.61094*EXP(17.625*(((C121+0.4*'Cooling Tower &amp; Corrugated Fill'!$C$12))-32)/1.8/((((C121+0.4*'Cooling Tower &amp; Corrugated Fill'!$C$12))-32)/1.8+243.04))))*(1061+0.444*((C121+0.4*'Cooling Tower &amp; Corrugated Fill'!$C$12))))-('Merkel Solver'!$C$4+'Cooling Tower &amp; Corrugated Fill'!$C$13*0.4*'Cooling Tower &amp; Corrugated Fill'!$C$12)</f>
        <v/>
      </c>
      <c r="F121" s="14">
        <f>(0.24*((C121+0.6*'Cooling Tower &amp; Corrugated Fill'!$C$12))+0.62198*(0.61094*EXP(17.625*(((C121+0.6*'Cooling Tower &amp; Corrugated Fill'!$C$12))-32)/1.8/((((C121+0.6*'Cooling Tower &amp; Corrugated Fill'!$C$12))-32)/1.8+243.04)))/('Cooling Tower &amp; Corrugated Fill'!$C$14-(0.61094*EXP(17.625*(((C121+0.6*'Cooling Tower &amp; Corrugated Fill'!$C$12))-32)/1.8/((((C121+0.6*'Cooling Tower &amp; Corrugated Fill'!$C$12))-32)/1.8+243.04))))*(1061+0.444*((C121+0.6*'Cooling Tower &amp; Corrugated Fill'!$C$12))))-('Merkel Solver'!$C$4+'Cooling Tower &amp; Corrugated Fill'!$C$13*0.6*'Cooling Tower &amp; Corrugated Fill'!$C$12)</f>
        <v/>
      </c>
      <c r="G121" s="14">
        <f>(0.24*((C121+0.9*'Cooling Tower &amp; Corrugated Fill'!$C$12))+0.62198*(0.61094*EXP(17.625*(((C121+0.9*'Cooling Tower &amp; Corrugated Fill'!$C$12))-32)/1.8/((((C121+0.9*'Cooling Tower &amp; Corrugated Fill'!$C$12))-32)/1.8+243.04)))/('Cooling Tower &amp; Corrugated Fill'!$C$14-(0.61094*EXP(17.625*(((C121+0.9*'Cooling Tower &amp; Corrugated Fill'!$C$12))-32)/1.8/((((C121+0.9*'Cooling Tower &amp; Corrugated Fill'!$C$12))-32)/1.8+243.04))))*(1061+0.444*((C121+0.9*'Cooling Tower &amp; Corrugated Fill'!$C$12))))-('Merkel Solver'!$C$4+'Cooling Tower &amp; Corrugated Fill'!$C$13*0.9*'Cooling Tower &amp; Corrugated Fill'!$C$12)</f>
        <v/>
      </c>
      <c r="H121" s="22">
        <f>IF(MIN(D121:G121)&lt;=0,99999,'Cooling Tower &amp; Corrugated Fill'!$C$12/4*(1/D121+1/E121+1/F121+1/G121))</f>
        <v/>
      </c>
    </row>
    <row r="122">
      <c r="B122" s="30" t="n">
        <v>11.6</v>
      </c>
      <c r="C122" s="12">
        <f>'Dashboard'!$C$9+B122</f>
        <v/>
      </c>
      <c r="D122" s="14">
        <f>(0.24*((C122+0.1*'Cooling Tower &amp; Corrugated Fill'!$C$12))+0.62198*(0.61094*EXP(17.625*(((C122+0.1*'Cooling Tower &amp; Corrugated Fill'!$C$12))-32)/1.8/((((C122+0.1*'Cooling Tower &amp; Corrugated Fill'!$C$12))-32)/1.8+243.04)))/('Cooling Tower &amp; Corrugated Fill'!$C$14-(0.61094*EXP(17.625*(((C122+0.1*'Cooling Tower &amp; Corrugated Fill'!$C$12))-32)/1.8/((((C122+0.1*'Cooling Tower &amp; Corrugated Fill'!$C$12))-32)/1.8+243.04))))*(1061+0.444*((C122+0.1*'Cooling Tower &amp; Corrugated Fill'!$C$12))))-('Merkel Solver'!$C$4+'Cooling Tower &amp; Corrugated Fill'!$C$13*0.1*'Cooling Tower &amp; Corrugated Fill'!$C$12)</f>
        <v/>
      </c>
      <c r="E122" s="14">
        <f>(0.24*((C122+0.4*'Cooling Tower &amp; Corrugated Fill'!$C$12))+0.62198*(0.61094*EXP(17.625*(((C122+0.4*'Cooling Tower &amp; Corrugated Fill'!$C$12))-32)/1.8/((((C122+0.4*'Cooling Tower &amp; Corrugated Fill'!$C$12))-32)/1.8+243.04)))/('Cooling Tower &amp; Corrugated Fill'!$C$14-(0.61094*EXP(17.625*(((C122+0.4*'Cooling Tower &amp; Corrugated Fill'!$C$12))-32)/1.8/((((C122+0.4*'Cooling Tower &amp; Corrugated Fill'!$C$12))-32)/1.8+243.04))))*(1061+0.444*((C122+0.4*'Cooling Tower &amp; Corrugated Fill'!$C$12))))-('Merkel Solver'!$C$4+'Cooling Tower &amp; Corrugated Fill'!$C$13*0.4*'Cooling Tower &amp; Corrugated Fill'!$C$12)</f>
        <v/>
      </c>
      <c r="F122" s="14">
        <f>(0.24*((C122+0.6*'Cooling Tower &amp; Corrugated Fill'!$C$12))+0.62198*(0.61094*EXP(17.625*(((C122+0.6*'Cooling Tower &amp; Corrugated Fill'!$C$12))-32)/1.8/((((C122+0.6*'Cooling Tower &amp; Corrugated Fill'!$C$12))-32)/1.8+243.04)))/('Cooling Tower &amp; Corrugated Fill'!$C$14-(0.61094*EXP(17.625*(((C122+0.6*'Cooling Tower &amp; Corrugated Fill'!$C$12))-32)/1.8/((((C122+0.6*'Cooling Tower &amp; Corrugated Fill'!$C$12))-32)/1.8+243.04))))*(1061+0.444*((C122+0.6*'Cooling Tower &amp; Corrugated Fill'!$C$12))))-('Merkel Solver'!$C$4+'Cooling Tower &amp; Corrugated Fill'!$C$13*0.6*'Cooling Tower &amp; Corrugated Fill'!$C$12)</f>
        <v/>
      </c>
      <c r="G122" s="14">
        <f>(0.24*((C122+0.9*'Cooling Tower &amp; Corrugated Fill'!$C$12))+0.62198*(0.61094*EXP(17.625*(((C122+0.9*'Cooling Tower &amp; Corrugated Fill'!$C$12))-32)/1.8/((((C122+0.9*'Cooling Tower &amp; Corrugated Fill'!$C$12))-32)/1.8+243.04)))/('Cooling Tower &amp; Corrugated Fill'!$C$14-(0.61094*EXP(17.625*(((C122+0.9*'Cooling Tower &amp; Corrugated Fill'!$C$12))-32)/1.8/((((C122+0.9*'Cooling Tower &amp; Corrugated Fill'!$C$12))-32)/1.8+243.04))))*(1061+0.444*((C122+0.9*'Cooling Tower &amp; Corrugated Fill'!$C$12))))-('Merkel Solver'!$C$4+'Cooling Tower &amp; Corrugated Fill'!$C$13*0.9*'Cooling Tower &amp; Corrugated Fill'!$C$12)</f>
        <v/>
      </c>
      <c r="H122" s="22">
        <f>IF(MIN(D122:G122)&lt;=0,99999,'Cooling Tower &amp; Corrugated Fill'!$C$12/4*(1/D122+1/E122+1/F122+1/G122))</f>
        <v/>
      </c>
    </row>
    <row r="123">
      <c r="B123" s="30" t="n">
        <v>11.7</v>
      </c>
      <c r="C123" s="12">
        <f>'Dashboard'!$C$9+B123</f>
        <v/>
      </c>
      <c r="D123" s="14">
        <f>(0.24*((C123+0.1*'Cooling Tower &amp; Corrugated Fill'!$C$12))+0.62198*(0.61094*EXP(17.625*(((C123+0.1*'Cooling Tower &amp; Corrugated Fill'!$C$12))-32)/1.8/((((C123+0.1*'Cooling Tower &amp; Corrugated Fill'!$C$12))-32)/1.8+243.04)))/('Cooling Tower &amp; Corrugated Fill'!$C$14-(0.61094*EXP(17.625*(((C123+0.1*'Cooling Tower &amp; Corrugated Fill'!$C$12))-32)/1.8/((((C123+0.1*'Cooling Tower &amp; Corrugated Fill'!$C$12))-32)/1.8+243.04))))*(1061+0.444*((C123+0.1*'Cooling Tower &amp; Corrugated Fill'!$C$12))))-('Merkel Solver'!$C$4+'Cooling Tower &amp; Corrugated Fill'!$C$13*0.1*'Cooling Tower &amp; Corrugated Fill'!$C$12)</f>
        <v/>
      </c>
      <c r="E123" s="14">
        <f>(0.24*((C123+0.4*'Cooling Tower &amp; Corrugated Fill'!$C$12))+0.62198*(0.61094*EXP(17.625*(((C123+0.4*'Cooling Tower &amp; Corrugated Fill'!$C$12))-32)/1.8/((((C123+0.4*'Cooling Tower &amp; Corrugated Fill'!$C$12))-32)/1.8+243.04)))/('Cooling Tower &amp; Corrugated Fill'!$C$14-(0.61094*EXP(17.625*(((C123+0.4*'Cooling Tower &amp; Corrugated Fill'!$C$12))-32)/1.8/((((C123+0.4*'Cooling Tower &amp; Corrugated Fill'!$C$12))-32)/1.8+243.04))))*(1061+0.444*((C123+0.4*'Cooling Tower &amp; Corrugated Fill'!$C$12))))-('Merkel Solver'!$C$4+'Cooling Tower &amp; Corrugated Fill'!$C$13*0.4*'Cooling Tower &amp; Corrugated Fill'!$C$12)</f>
        <v/>
      </c>
      <c r="F123" s="14">
        <f>(0.24*((C123+0.6*'Cooling Tower &amp; Corrugated Fill'!$C$12))+0.62198*(0.61094*EXP(17.625*(((C123+0.6*'Cooling Tower &amp; Corrugated Fill'!$C$12))-32)/1.8/((((C123+0.6*'Cooling Tower &amp; Corrugated Fill'!$C$12))-32)/1.8+243.04)))/('Cooling Tower &amp; Corrugated Fill'!$C$14-(0.61094*EXP(17.625*(((C123+0.6*'Cooling Tower &amp; Corrugated Fill'!$C$12))-32)/1.8/((((C123+0.6*'Cooling Tower &amp; Corrugated Fill'!$C$12))-32)/1.8+243.04))))*(1061+0.444*((C123+0.6*'Cooling Tower &amp; Corrugated Fill'!$C$12))))-('Merkel Solver'!$C$4+'Cooling Tower &amp; Corrugated Fill'!$C$13*0.6*'Cooling Tower &amp; Corrugated Fill'!$C$12)</f>
        <v/>
      </c>
      <c r="G123" s="14">
        <f>(0.24*((C123+0.9*'Cooling Tower &amp; Corrugated Fill'!$C$12))+0.62198*(0.61094*EXP(17.625*(((C123+0.9*'Cooling Tower &amp; Corrugated Fill'!$C$12))-32)/1.8/((((C123+0.9*'Cooling Tower &amp; Corrugated Fill'!$C$12))-32)/1.8+243.04)))/('Cooling Tower &amp; Corrugated Fill'!$C$14-(0.61094*EXP(17.625*(((C123+0.9*'Cooling Tower &amp; Corrugated Fill'!$C$12))-32)/1.8/((((C123+0.9*'Cooling Tower &amp; Corrugated Fill'!$C$12))-32)/1.8+243.04))))*(1061+0.444*((C123+0.9*'Cooling Tower &amp; Corrugated Fill'!$C$12))))-('Merkel Solver'!$C$4+'Cooling Tower &amp; Corrugated Fill'!$C$13*0.9*'Cooling Tower &amp; Corrugated Fill'!$C$12)</f>
        <v/>
      </c>
      <c r="H123" s="22">
        <f>IF(MIN(D123:G123)&lt;=0,99999,'Cooling Tower &amp; Corrugated Fill'!$C$12/4*(1/D123+1/E123+1/F123+1/G123))</f>
        <v/>
      </c>
    </row>
    <row r="124">
      <c r="B124" s="30" t="n">
        <v>11.8</v>
      </c>
      <c r="C124" s="12">
        <f>'Dashboard'!$C$9+B124</f>
        <v/>
      </c>
      <c r="D124" s="14">
        <f>(0.24*((C124+0.1*'Cooling Tower &amp; Corrugated Fill'!$C$12))+0.62198*(0.61094*EXP(17.625*(((C124+0.1*'Cooling Tower &amp; Corrugated Fill'!$C$12))-32)/1.8/((((C124+0.1*'Cooling Tower &amp; Corrugated Fill'!$C$12))-32)/1.8+243.04)))/('Cooling Tower &amp; Corrugated Fill'!$C$14-(0.61094*EXP(17.625*(((C124+0.1*'Cooling Tower &amp; Corrugated Fill'!$C$12))-32)/1.8/((((C124+0.1*'Cooling Tower &amp; Corrugated Fill'!$C$12))-32)/1.8+243.04))))*(1061+0.444*((C124+0.1*'Cooling Tower &amp; Corrugated Fill'!$C$12))))-('Merkel Solver'!$C$4+'Cooling Tower &amp; Corrugated Fill'!$C$13*0.1*'Cooling Tower &amp; Corrugated Fill'!$C$12)</f>
        <v/>
      </c>
      <c r="E124" s="14">
        <f>(0.24*((C124+0.4*'Cooling Tower &amp; Corrugated Fill'!$C$12))+0.62198*(0.61094*EXP(17.625*(((C124+0.4*'Cooling Tower &amp; Corrugated Fill'!$C$12))-32)/1.8/((((C124+0.4*'Cooling Tower &amp; Corrugated Fill'!$C$12))-32)/1.8+243.04)))/('Cooling Tower &amp; Corrugated Fill'!$C$14-(0.61094*EXP(17.625*(((C124+0.4*'Cooling Tower &amp; Corrugated Fill'!$C$12))-32)/1.8/((((C124+0.4*'Cooling Tower &amp; Corrugated Fill'!$C$12))-32)/1.8+243.04))))*(1061+0.444*((C124+0.4*'Cooling Tower &amp; Corrugated Fill'!$C$12))))-('Merkel Solver'!$C$4+'Cooling Tower &amp; Corrugated Fill'!$C$13*0.4*'Cooling Tower &amp; Corrugated Fill'!$C$12)</f>
        <v/>
      </c>
      <c r="F124" s="14">
        <f>(0.24*((C124+0.6*'Cooling Tower &amp; Corrugated Fill'!$C$12))+0.62198*(0.61094*EXP(17.625*(((C124+0.6*'Cooling Tower &amp; Corrugated Fill'!$C$12))-32)/1.8/((((C124+0.6*'Cooling Tower &amp; Corrugated Fill'!$C$12))-32)/1.8+243.04)))/('Cooling Tower &amp; Corrugated Fill'!$C$14-(0.61094*EXP(17.625*(((C124+0.6*'Cooling Tower &amp; Corrugated Fill'!$C$12))-32)/1.8/((((C124+0.6*'Cooling Tower &amp; Corrugated Fill'!$C$12))-32)/1.8+243.04))))*(1061+0.444*((C124+0.6*'Cooling Tower &amp; Corrugated Fill'!$C$12))))-('Merkel Solver'!$C$4+'Cooling Tower &amp; Corrugated Fill'!$C$13*0.6*'Cooling Tower &amp; Corrugated Fill'!$C$12)</f>
        <v/>
      </c>
      <c r="G124" s="14">
        <f>(0.24*((C124+0.9*'Cooling Tower &amp; Corrugated Fill'!$C$12))+0.62198*(0.61094*EXP(17.625*(((C124+0.9*'Cooling Tower &amp; Corrugated Fill'!$C$12))-32)/1.8/((((C124+0.9*'Cooling Tower &amp; Corrugated Fill'!$C$12))-32)/1.8+243.04)))/('Cooling Tower &amp; Corrugated Fill'!$C$14-(0.61094*EXP(17.625*(((C124+0.9*'Cooling Tower &amp; Corrugated Fill'!$C$12))-32)/1.8/((((C124+0.9*'Cooling Tower &amp; Corrugated Fill'!$C$12))-32)/1.8+243.04))))*(1061+0.444*((C124+0.9*'Cooling Tower &amp; Corrugated Fill'!$C$12))))-('Merkel Solver'!$C$4+'Cooling Tower &amp; Corrugated Fill'!$C$13*0.9*'Cooling Tower &amp; Corrugated Fill'!$C$12)</f>
        <v/>
      </c>
      <c r="H124" s="22">
        <f>IF(MIN(D124:G124)&lt;=0,99999,'Cooling Tower &amp; Corrugated Fill'!$C$12/4*(1/D124+1/E124+1/F124+1/G124))</f>
        <v/>
      </c>
    </row>
    <row r="125">
      <c r="B125" s="30" t="n">
        <v>11.9</v>
      </c>
      <c r="C125" s="12">
        <f>'Dashboard'!$C$9+B125</f>
        <v/>
      </c>
      <c r="D125" s="14">
        <f>(0.24*((C125+0.1*'Cooling Tower &amp; Corrugated Fill'!$C$12))+0.62198*(0.61094*EXP(17.625*(((C125+0.1*'Cooling Tower &amp; Corrugated Fill'!$C$12))-32)/1.8/((((C125+0.1*'Cooling Tower &amp; Corrugated Fill'!$C$12))-32)/1.8+243.04)))/('Cooling Tower &amp; Corrugated Fill'!$C$14-(0.61094*EXP(17.625*(((C125+0.1*'Cooling Tower &amp; Corrugated Fill'!$C$12))-32)/1.8/((((C125+0.1*'Cooling Tower &amp; Corrugated Fill'!$C$12))-32)/1.8+243.04))))*(1061+0.444*((C125+0.1*'Cooling Tower &amp; Corrugated Fill'!$C$12))))-('Merkel Solver'!$C$4+'Cooling Tower &amp; Corrugated Fill'!$C$13*0.1*'Cooling Tower &amp; Corrugated Fill'!$C$12)</f>
        <v/>
      </c>
      <c r="E125" s="14">
        <f>(0.24*((C125+0.4*'Cooling Tower &amp; Corrugated Fill'!$C$12))+0.62198*(0.61094*EXP(17.625*(((C125+0.4*'Cooling Tower &amp; Corrugated Fill'!$C$12))-32)/1.8/((((C125+0.4*'Cooling Tower &amp; Corrugated Fill'!$C$12))-32)/1.8+243.04)))/('Cooling Tower &amp; Corrugated Fill'!$C$14-(0.61094*EXP(17.625*(((C125+0.4*'Cooling Tower &amp; Corrugated Fill'!$C$12))-32)/1.8/((((C125+0.4*'Cooling Tower &amp; Corrugated Fill'!$C$12))-32)/1.8+243.04))))*(1061+0.444*((C125+0.4*'Cooling Tower &amp; Corrugated Fill'!$C$12))))-('Merkel Solver'!$C$4+'Cooling Tower &amp; Corrugated Fill'!$C$13*0.4*'Cooling Tower &amp; Corrugated Fill'!$C$12)</f>
        <v/>
      </c>
      <c r="F125" s="14">
        <f>(0.24*((C125+0.6*'Cooling Tower &amp; Corrugated Fill'!$C$12))+0.62198*(0.61094*EXP(17.625*(((C125+0.6*'Cooling Tower &amp; Corrugated Fill'!$C$12))-32)/1.8/((((C125+0.6*'Cooling Tower &amp; Corrugated Fill'!$C$12))-32)/1.8+243.04)))/('Cooling Tower &amp; Corrugated Fill'!$C$14-(0.61094*EXP(17.625*(((C125+0.6*'Cooling Tower &amp; Corrugated Fill'!$C$12))-32)/1.8/((((C125+0.6*'Cooling Tower &amp; Corrugated Fill'!$C$12))-32)/1.8+243.04))))*(1061+0.444*((C125+0.6*'Cooling Tower &amp; Corrugated Fill'!$C$12))))-('Merkel Solver'!$C$4+'Cooling Tower &amp; Corrugated Fill'!$C$13*0.6*'Cooling Tower &amp; Corrugated Fill'!$C$12)</f>
        <v/>
      </c>
      <c r="G125" s="14">
        <f>(0.24*((C125+0.9*'Cooling Tower &amp; Corrugated Fill'!$C$12))+0.62198*(0.61094*EXP(17.625*(((C125+0.9*'Cooling Tower &amp; Corrugated Fill'!$C$12))-32)/1.8/((((C125+0.9*'Cooling Tower &amp; Corrugated Fill'!$C$12))-32)/1.8+243.04)))/('Cooling Tower &amp; Corrugated Fill'!$C$14-(0.61094*EXP(17.625*(((C125+0.9*'Cooling Tower &amp; Corrugated Fill'!$C$12))-32)/1.8/((((C125+0.9*'Cooling Tower &amp; Corrugated Fill'!$C$12))-32)/1.8+243.04))))*(1061+0.444*((C125+0.9*'Cooling Tower &amp; Corrugated Fill'!$C$12))))-('Merkel Solver'!$C$4+'Cooling Tower &amp; Corrugated Fill'!$C$13*0.9*'Cooling Tower &amp; Corrugated Fill'!$C$12)</f>
        <v/>
      </c>
      <c r="H125" s="22">
        <f>IF(MIN(D125:G125)&lt;=0,99999,'Cooling Tower &amp; Corrugated Fill'!$C$12/4*(1/D125+1/E125+1/F125+1/G125))</f>
        <v/>
      </c>
    </row>
    <row r="126">
      <c r="B126" s="30" t="n">
        <v>12</v>
      </c>
      <c r="C126" s="12">
        <f>'Dashboard'!$C$9+B126</f>
        <v/>
      </c>
      <c r="D126" s="14">
        <f>(0.24*((C126+0.1*'Cooling Tower &amp; Corrugated Fill'!$C$12))+0.62198*(0.61094*EXP(17.625*(((C126+0.1*'Cooling Tower &amp; Corrugated Fill'!$C$12))-32)/1.8/((((C126+0.1*'Cooling Tower &amp; Corrugated Fill'!$C$12))-32)/1.8+243.04)))/('Cooling Tower &amp; Corrugated Fill'!$C$14-(0.61094*EXP(17.625*(((C126+0.1*'Cooling Tower &amp; Corrugated Fill'!$C$12))-32)/1.8/((((C126+0.1*'Cooling Tower &amp; Corrugated Fill'!$C$12))-32)/1.8+243.04))))*(1061+0.444*((C126+0.1*'Cooling Tower &amp; Corrugated Fill'!$C$12))))-('Merkel Solver'!$C$4+'Cooling Tower &amp; Corrugated Fill'!$C$13*0.1*'Cooling Tower &amp; Corrugated Fill'!$C$12)</f>
        <v/>
      </c>
      <c r="E126" s="14">
        <f>(0.24*((C126+0.4*'Cooling Tower &amp; Corrugated Fill'!$C$12))+0.62198*(0.61094*EXP(17.625*(((C126+0.4*'Cooling Tower &amp; Corrugated Fill'!$C$12))-32)/1.8/((((C126+0.4*'Cooling Tower &amp; Corrugated Fill'!$C$12))-32)/1.8+243.04)))/('Cooling Tower &amp; Corrugated Fill'!$C$14-(0.61094*EXP(17.625*(((C126+0.4*'Cooling Tower &amp; Corrugated Fill'!$C$12))-32)/1.8/((((C126+0.4*'Cooling Tower &amp; Corrugated Fill'!$C$12))-32)/1.8+243.04))))*(1061+0.444*((C126+0.4*'Cooling Tower &amp; Corrugated Fill'!$C$12))))-('Merkel Solver'!$C$4+'Cooling Tower &amp; Corrugated Fill'!$C$13*0.4*'Cooling Tower &amp; Corrugated Fill'!$C$12)</f>
        <v/>
      </c>
      <c r="F126" s="14">
        <f>(0.24*((C126+0.6*'Cooling Tower &amp; Corrugated Fill'!$C$12))+0.62198*(0.61094*EXP(17.625*(((C126+0.6*'Cooling Tower &amp; Corrugated Fill'!$C$12))-32)/1.8/((((C126+0.6*'Cooling Tower &amp; Corrugated Fill'!$C$12))-32)/1.8+243.04)))/('Cooling Tower &amp; Corrugated Fill'!$C$14-(0.61094*EXP(17.625*(((C126+0.6*'Cooling Tower &amp; Corrugated Fill'!$C$12))-32)/1.8/((((C126+0.6*'Cooling Tower &amp; Corrugated Fill'!$C$12))-32)/1.8+243.04))))*(1061+0.444*((C126+0.6*'Cooling Tower &amp; Corrugated Fill'!$C$12))))-('Merkel Solver'!$C$4+'Cooling Tower &amp; Corrugated Fill'!$C$13*0.6*'Cooling Tower &amp; Corrugated Fill'!$C$12)</f>
        <v/>
      </c>
      <c r="G126" s="14">
        <f>(0.24*((C126+0.9*'Cooling Tower &amp; Corrugated Fill'!$C$12))+0.62198*(0.61094*EXP(17.625*(((C126+0.9*'Cooling Tower &amp; Corrugated Fill'!$C$12))-32)/1.8/((((C126+0.9*'Cooling Tower &amp; Corrugated Fill'!$C$12))-32)/1.8+243.04)))/('Cooling Tower &amp; Corrugated Fill'!$C$14-(0.61094*EXP(17.625*(((C126+0.9*'Cooling Tower &amp; Corrugated Fill'!$C$12))-32)/1.8/((((C126+0.9*'Cooling Tower &amp; Corrugated Fill'!$C$12))-32)/1.8+243.04))))*(1061+0.444*((C126+0.9*'Cooling Tower &amp; Corrugated Fill'!$C$12))))-('Merkel Solver'!$C$4+'Cooling Tower &amp; Corrugated Fill'!$C$13*0.9*'Cooling Tower &amp; Corrugated Fill'!$C$12)</f>
        <v/>
      </c>
      <c r="H126" s="22">
        <f>IF(MIN(D126:G126)&lt;=0,99999,'Cooling Tower &amp; Corrugated Fill'!$C$12/4*(1/D126+1/E126+1/F126+1/G126))</f>
        <v/>
      </c>
    </row>
    <row r="127">
      <c r="B127" s="30" t="n">
        <v>12.1</v>
      </c>
      <c r="C127" s="12">
        <f>'Dashboard'!$C$9+B127</f>
        <v/>
      </c>
      <c r="D127" s="14">
        <f>(0.24*((C127+0.1*'Cooling Tower &amp; Corrugated Fill'!$C$12))+0.62198*(0.61094*EXP(17.625*(((C127+0.1*'Cooling Tower &amp; Corrugated Fill'!$C$12))-32)/1.8/((((C127+0.1*'Cooling Tower &amp; Corrugated Fill'!$C$12))-32)/1.8+243.04)))/('Cooling Tower &amp; Corrugated Fill'!$C$14-(0.61094*EXP(17.625*(((C127+0.1*'Cooling Tower &amp; Corrugated Fill'!$C$12))-32)/1.8/((((C127+0.1*'Cooling Tower &amp; Corrugated Fill'!$C$12))-32)/1.8+243.04))))*(1061+0.444*((C127+0.1*'Cooling Tower &amp; Corrugated Fill'!$C$12))))-('Merkel Solver'!$C$4+'Cooling Tower &amp; Corrugated Fill'!$C$13*0.1*'Cooling Tower &amp; Corrugated Fill'!$C$12)</f>
        <v/>
      </c>
      <c r="E127" s="14">
        <f>(0.24*((C127+0.4*'Cooling Tower &amp; Corrugated Fill'!$C$12))+0.62198*(0.61094*EXP(17.625*(((C127+0.4*'Cooling Tower &amp; Corrugated Fill'!$C$12))-32)/1.8/((((C127+0.4*'Cooling Tower &amp; Corrugated Fill'!$C$12))-32)/1.8+243.04)))/('Cooling Tower &amp; Corrugated Fill'!$C$14-(0.61094*EXP(17.625*(((C127+0.4*'Cooling Tower &amp; Corrugated Fill'!$C$12))-32)/1.8/((((C127+0.4*'Cooling Tower &amp; Corrugated Fill'!$C$12))-32)/1.8+243.04))))*(1061+0.444*((C127+0.4*'Cooling Tower &amp; Corrugated Fill'!$C$12))))-('Merkel Solver'!$C$4+'Cooling Tower &amp; Corrugated Fill'!$C$13*0.4*'Cooling Tower &amp; Corrugated Fill'!$C$12)</f>
        <v/>
      </c>
      <c r="F127" s="14">
        <f>(0.24*((C127+0.6*'Cooling Tower &amp; Corrugated Fill'!$C$12))+0.62198*(0.61094*EXP(17.625*(((C127+0.6*'Cooling Tower &amp; Corrugated Fill'!$C$12))-32)/1.8/((((C127+0.6*'Cooling Tower &amp; Corrugated Fill'!$C$12))-32)/1.8+243.04)))/('Cooling Tower &amp; Corrugated Fill'!$C$14-(0.61094*EXP(17.625*(((C127+0.6*'Cooling Tower &amp; Corrugated Fill'!$C$12))-32)/1.8/((((C127+0.6*'Cooling Tower &amp; Corrugated Fill'!$C$12))-32)/1.8+243.04))))*(1061+0.444*((C127+0.6*'Cooling Tower &amp; Corrugated Fill'!$C$12))))-('Merkel Solver'!$C$4+'Cooling Tower &amp; Corrugated Fill'!$C$13*0.6*'Cooling Tower &amp; Corrugated Fill'!$C$12)</f>
        <v/>
      </c>
      <c r="G127" s="14">
        <f>(0.24*((C127+0.9*'Cooling Tower &amp; Corrugated Fill'!$C$12))+0.62198*(0.61094*EXP(17.625*(((C127+0.9*'Cooling Tower &amp; Corrugated Fill'!$C$12))-32)/1.8/((((C127+0.9*'Cooling Tower &amp; Corrugated Fill'!$C$12))-32)/1.8+243.04)))/('Cooling Tower &amp; Corrugated Fill'!$C$14-(0.61094*EXP(17.625*(((C127+0.9*'Cooling Tower &amp; Corrugated Fill'!$C$12))-32)/1.8/((((C127+0.9*'Cooling Tower &amp; Corrugated Fill'!$C$12))-32)/1.8+243.04))))*(1061+0.444*((C127+0.9*'Cooling Tower &amp; Corrugated Fill'!$C$12))))-('Merkel Solver'!$C$4+'Cooling Tower &amp; Corrugated Fill'!$C$13*0.9*'Cooling Tower &amp; Corrugated Fill'!$C$12)</f>
        <v/>
      </c>
      <c r="H127" s="22">
        <f>IF(MIN(D127:G127)&lt;=0,99999,'Cooling Tower &amp; Corrugated Fill'!$C$12/4*(1/D127+1/E127+1/F127+1/G127))</f>
        <v/>
      </c>
    </row>
    <row r="128">
      <c r="B128" s="30" t="n">
        <v>12.2</v>
      </c>
      <c r="C128" s="12">
        <f>'Dashboard'!$C$9+B128</f>
        <v/>
      </c>
      <c r="D128" s="14">
        <f>(0.24*((C128+0.1*'Cooling Tower &amp; Corrugated Fill'!$C$12))+0.62198*(0.61094*EXP(17.625*(((C128+0.1*'Cooling Tower &amp; Corrugated Fill'!$C$12))-32)/1.8/((((C128+0.1*'Cooling Tower &amp; Corrugated Fill'!$C$12))-32)/1.8+243.04)))/('Cooling Tower &amp; Corrugated Fill'!$C$14-(0.61094*EXP(17.625*(((C128+0.1*'Cooling Tower &amp; Corrugated Fill'!$C$12))-32)/1.8/((((C128+0.1*'Cooling Tower &amp; Corrugated Fill'!$C$12))-32)/1.8+243.04))))*(1061+0.444*((C128+0.1*'Cooling Tower &amp; Corrugated Fill'!$C$12))))-('Merkel Solver'!$C$4+'Cooling Tower &amp; Corrugated Fill'!$C$13*0.1*'Cooling Tower &amp; Corrugated Fill'!$C$12)</f>
        <v/>
      </c>
      <c r="E128" s="14">
        <f>(0.24*((C128+0.4*'Cooling Tower &amp; Corrugated Fill'!$C$12))+0.62198*(0.61094*EXP(17.625*(((C128+0.4*'Cooling Tower &amp; Corrugated Fill'!$C$12))-32)/1.8/((((C128+0.4*'Cooling Tower &amp; Corrugated Fill'!$C$12))-32)/1.8+243.04)))/('Cooling Tower &amp; Corrugated Fill'!$C$14-(0.61094*EXP(17.625*(((C128+0.4*'Cooling Tower &amp; Corrugated Fill'!$C$12))-32)/1.8/((((C128+0.4*'Cooling Tower &amp; Corrugated Fill'!$C$12))-32)/1.8+243.04))))*(1061+0.444*((C128+0.4*'Cooling Tower &amp; Corrugated Fill'!$C$12))))-('Merkel Solver'!$C$4+'Cooling Tower &amp; Corrugated Fill'!$C$13*0.4*'Cooling Tower &amp; Corrugated Fill'!$C$12)</f>
        <v/>
      </c>
      <c r="F128" s="14">
        <f>(0.24*((C128+0.6*'Cooling Tower &amp; Corrugated Fill'!$C$12))+0.62198*(0.61094*EXP(17.625*(((C128+0.6*'Cooling Tower &amp; Corrugated Fill'!$C$12))-32)/1.8/((((C128+0.6*'Cooling Tower &amp; Corrugated Fill'!$C$12))-32)/1.8+243.04)))/('Cooling Tower &amp; Corrugated Fill'!$C$14-(0.61094*EXP(17.625*(((C128+0.6*'Cooling Tower &amp; Corrugated Fill'!$C$12))-32)/1.8/((((C128+0.6*'Cooling Tower &amp; Corrugated Fill'!$C$12))-32)/1.8+243.04))))*(1061+0.444*((C128+0.6*'Cooling Tower &amp; Corrugated Fill'!$C$12))))-('Merkel Solver'!$C$4+'Cooling Tower &amp; Corrugated Fill'!$C$13*0.6*'Cooling Tower &amp; Corrugated Fill'!$C$12)</f>
        <v/>
      </c>
      <c r="G128" s="14">
        <f>(0.24*((C128+0.9*'Cooling Tower &amp; Corrugated Fill'!$C$12))+0.62198*(0.61094*EXP(17.625*(((C128+0.9*'Cooling Tower &amp; Corrugated Fill'!$C$12))-32)/1.8/((((C128+0.9*'Cooling Tower &amp; Corrugated Fill'!$C$12))-32)/1.8+243.04)))/('Cooling Tower &amp; Corrugated Fill'!$C$14-(0.61094*EXP(17.625*(((C128+0.9*'Cooling Tower &amp; Corrugated Fill'!$C$12))-32)/1.8/((((C128+0.9*'Cooling Tower &amp; Corrugated Fill'!$C$12))-32)/1.8+243.04))))*(1061+0.444*((C128+0.9*'Cooling Tower &amp; Corrugated Fill'!$C$12))))-('Merkel Solver'!$C$4+'Cooling Tower &amp; Corrugated Fill'!$C$13*0.9*'Cooling Tower &amp; Corrugated Fill'!$C$12)</f>
        <v/>
      </c>
      <c r="H128" s="22">
        <f>IF(MIN(D128:G128)&lt;=0,99999,'Cooling Tower &amp; Corrugated Fill'!$C$12/4*(1/D128+1/E128+1/F128+1/G128))</f>
        <v/>
      </c>
    </row>
    <row r="129">
      <c r="B129" s="30" t="n">
        <v>12.3</v>
      </c>
      <c r="C129" s="12">
        <f>'Dashboard'!$C$9+B129</f>
        <v/>
      </c>
      <c r="D129" s="14">
        <f>(0.24*((C129+0.1*'Cooling Tower &amp; Corrugated Fill'!$C$12))+0.62198*(0.61094*EXP(17.625*(((C129+0.1*'Cooling Tower &amp; Corrugated Fill'!$C$12))-32)/1.8/((((C129+0.1*'Cooling Tower &amp; Corrugated Fill'!$C$12))-32)/1.8+243.04)))/('Cooling Tower &amp; Corrugated Fill'!$C$14-(0.61094*EXP(17.625*(((C129+0.1*'Cooling Tower &amp; Corrugated Fill'!$C$12))-32)/1.8/((((C129+0.1*'Cooling Tower &amp; Corrugated Fill'!$C$12))-32)/1.8+243.04))))*(1061+0.444*((C129+0.1*'Cooling Tower &amp; Corrugated Fill'!$C$12))))-('Merkel Solver'!$C$4+'Cooling Tower &amp; Corrugated Fill'!$C$13*0.1*'Cooling Tower &amp; Corrugated Fill'!$C$12)</f>
        <v/>
      </c>
      <c r="E129" s="14">
        <f>(0.24*((C129+0.4*'Cooling Tower &amp; Corrugated Fill'!$C$12))+0.62198*(0.61094*EXP(17.625*(((C129+0.4*'Cooling Tower &amp; Corrugated Fill'!$C$12))-32)/1.8/((((C129+0.4*'Cooling Tower &amp; Corrugated Fill'!$C$12))-32)/1.8+243.04)))/('Cooling Tower &amp; Corrugated Fill'!$C$14-(0.61094*EXP(17.625*(((C129+0.4*'Cooling Tower &amp; Corrugated Fill'!$C$12))-32)/1.8/((((C129+0.4*'Cooling Tower &amp; Corrugated Fill'!$C$12))-32)/1.8+243.04))))*(1061+0.444*((C129+0.4*'Cooling Tower &amp; Corrugated Fill'!$C$12))))-('Merkel Solver'!$C$4+'Cooling Tower &amp; Corrugated Fill'!$C$13*0.4*'Cooling Tower &amp; Corrugated Fill'!$C$12)</f>
        <v/>
      </c>
      <c r="F129" s="14">
        <f>(0.24*((C129+0.6*'Cooling Tower &amp; Corrugated Fill'!$C$12))+0.62198*(0.61094*EXP(17.625*(((C129+0.6*'Cooling Tower &amp; Corrugated Fill'!$C$12))-32)/1.8/((((C129+0.6*'Cooling Tower &amp; Corrugated Fill'!$C$12))-32)/1.8+243.04)))/('Cooling Tower &amp; Corrugated Fill'!$C$14-(0.61094*EXP(17.625*(((C129+0.6*'Cooling Tower &amp; Corrugated Fill'!$C$12))-32)/1.8/((((C129+0.6*'Cooling Tower &amp; Corrugated Fill'!$C$12))-32)/1.8+243.04))))*(1061+0.444*((C129+0.6*'Cooling Tower &amp; Corrugated Fill'!$C$12))))-('Merkel Solver'!$C$4+'Cooling Tower &amp; Corrugated Fill'!$C$13*0.6*'Cooling Tower &amp; Corrugated Fill'!$C$12)</f>
        <v/>
      </c>
      <c r="G129" s="14">
        <f>(0.24*((C129+0.9*'Cooling Tower &amp; Corrugated Fill'!$C$12))+0.62198*(0.61094*EXP(17.625*(((C129+0.9*'Cooling Tower &amp; Corrugated Fill'!$C$12))-32)/1.8/((((C129+0.9*'Cooling Tower &amp; Corrugated Fill'!$C$12))-32)/1.8+243.04)))/('Cooling Tower &amp; Corrugated Fill'!$C$14-(0.61094*EXP(17.625*(((C129+0.9*'Cooling Tower &amp; Corrugated Fill'!$C$12))-32)/1.8/((((C129+0.9*'Cooling Tower &amp; Corrugated Fill'!$C$12))-32)/1.8+243.04))))*(1061+0.444*((C129+0.9*'Cooling Tower &amp; Corrugated Fill'!$C$12))))-('Merkel Solver'!$C$4+'Cooling Tower &amp; Corrugated Fill'!$C$13*0.9*'Cooling Tower &amp; Corrugated Fill'!$C$12)</f>
        <v/>
      </c>
      <c r="H129" s="22">
        <f>IF(MIN(D129:G129)&lt;=0,99999,'Cooling Tower &amp; Corrugated Fill'!$C$12/4*(1/D129+1/E129+1/F129+1/G129))</f>
        <v/>
      </c>
    </row>
    <row r="130">
      <c r="B130" s="30" t="n">
        <v>12.4</v>
      </c>
      <c r="C130" s="12">
        <f>'Dashboard'!$C$9+B130</f>
        <v/>
      </c>
      <c r="D130" s="14">
        <f>(0.24*((C130+0.1*'Cooling Tower &amp; Corrugated Fill'!$C$12))+0.62198*(0.61094*EXP(17.625*(((C130+0.1*'Cooling Tower &amp; Corrugated Fill'!$C$12))-32)/1.8/((((C130+0.1*'Cooling Tower &amp; Corrugated Fill'!$C$12))-32)/1.8+243.04)))/('Cooling Tower &amp; Corrugated Fill'!$C$14-(0.61094*EXP(17.625*(((C130+0.1*'Cooling Tower &amp; Corrugated Fill'!$C$12))-32)/1.8/((((C130+0.1*'Cooling Tower &amp; Corrugated Fill'!$C$12))-32)/1.8+243.04))))*(1061+0.444*((C130+0.1*'Cooling Tower &amp; Corrugated Fill'!$C$12))))-('Merkel Solver'!$C$4+'Cooling Tower &amp; Corrugated Fill'!$C$13*0.1*'Cooling Tower &amp; Corrugated Fill'!$C$12)</f>
        <v/>
      </c>
      <c r="E130" s="14">
        <f>(0.24*((C130+0.4*'Cooling Tower &amp; Corrugated Fill'!$C$12))+0.62198*(0.61094*EXP(17.625*(((C130+0.4*'Cooling Tower &amp; Corrugated Fill'!$C$12))-32)/1.8/((((C130+0.4*'Cooling Tower &amp; Corrugated Fill'!$C$12))-32)/1.8+243.04)))/('Cooling Tower &amp; Corrugated Fill'!$C$14-(0.61094*EXP(17.625*(((C130+0.4*'Cooling Tower &amp; Corrugated Fill'!$C$12))-32)/1.8/((((C130+0.4*'Cooling Tower &amp; Corrugated Fill'!$C$12))-32)/1.8+243.04))))*(1061+0.444*((C130+0.4*'Cooling Tower &amp; Corrugated Fill'!$C$12))))-('Merkel Solver'!$C$4+'Cooling Tower &amp; Corrugated Fill'!$C$13*0.4*'Cooling Tower &amp; Corrugated Fill'!$C$12)</f>
        <v/>
      </c>
      <c r="F130" s="14">
        <f>(0.24*((C130+0.6*'Cooling Tower &amp; Corrugated Fill'!$C$12))+0.62198*(0.61094*EXP(17.625*(((C130+0.6*'Cooling Tower &amp; Corrugated Fill'!$C$12))-32)/1.8/((((C130+0.6*'Cooling Tower &amp; Corrugated Fill'!$C$12))-32)/1.8+243.04)))/('Cooling Tower &amp; Corrugated Fill'!$C$14-(0.61094*EXP(17.625*(((C130+0.6*'Cooling Tower &amp; Corrugated Fill'!$C$12))-32)/1.8/((((C130+0.6*'Cooling Tower &amp; Corrugated Fill'!$C$12))-32)/1.8+243.04))))*(1061+0.444*((C130+0.6*'Cooling Tower &amp; Corrugated Fill'!$C$12))))-('Merkel Solver'!$C$4+'Cooling Tower &amp; Corrugated Fill'!$C$13*0.6*'Cooling Tower &amp; Corrugated Fill'!$C$12)</f>
        <v/>
      </c>
      <c r="G130" s="14">
        <f>(0.24*((C130+0.9*'Cooling Tower &amp; Corrugated Fill'!$C$12))+0.62198*(0.61094*EXP(17.625*(((C130+0.9*'Cooling Tower &amp; Corrugated Fill'!$C$12))-32)/1.8/((((C130+0.9*'Cooling Tower &amp; Corrugated Fill'!$C$12))-32)/1.8+243.04)))/('Cooling Tower &amp; Corrugated Fill'!$C$14-(0.61094*EXP(17.625*(((C130+0.9*'Cooling Tower &amp; Corrugated Fill'!$C$12))-32)/1.8/((((C130+0.9*'Cooling Tower &amp; Corrugated Fill'!$C$12))-32)/1.8+243.04))))*(1061+0.444*((C130+0.9*'Cooling Tower &amp; Corrugated Fill'!$C$12))))-('Merkel Solver'!$C$4+'Cooling Tower &amp; Corrugated Fill'!$C$13*0.9*'Cooling Tower &amp; Corrugated Fill'!$C$12)</f>
        <v/>
      </c>
      <c r="H130" s="22">
        <f>IF(MIN(D130:G130)&lt;=0,99999,'Cooling Tower &amp; Corrugated Fill'!$C$12/4*(1/D130+1/E130+1/F130+1/G130))</f>
        <v/>
      </c>
    </row>
    <row r="131">
      <c r="B131" s="30" t="n">
        <v>12.5</v>
      </c>
      <c r="C131" s="12">
        <f>'Dashboard'!$C$9+B131</f>
        <v/>
      </c>
      <c r="D131" s="14">
        <f>(0.24*((C131+0.1*'Cooling Tower &amp; Corrugated Fill'!$C$12))+0.62198*(0.61094*EXP(17.625*(((C131+0.1*'Cooling Tower &amp; Corrugated Fill'!$C$12))-32)/1.8/((((C131+0.1*'Cooling Tower &amp; Corrugated Fill'!$C$12))-32)/1.8+243.04)))/('Cooling Tower &amp; Corrugated Fill'!$C$14-(0.61094*EXP(17.625*(((C131+0.1*'Cooling Tower &amp; Corrugated Fill'!$C$12))-32)/1.8/((((C131+0.1*'Cooling Tower &amp; Corrugated Fill'!$C$12))-32)/1.8+243.04))))*(1061+0.444*((C131+0.1*'Cooling Tower &amp; Corrugated Fill'!$C$12))))-('Merkel Solver'!$C$4+'Cooling Tower &amp; Corrugated Fill'!$C$13*0.1*'Cooling Tower &amp; Corrugated Fill'!$C$12)</f>
        <v/>
      </c>
      <c r="E131" s="14">
        <f>(0.24*((C131+0.4*'Cooling Tower &amp; Corrugated Fill'!$C$12))+0.62198*(0.61094*EXP(17.625*(((C131+0.4*'Cooling Tower &amp; Corrugated Fill'!$C$12))-32)/1.8/((((C131+0.4*'Cooling Tower &amp; Corrugated Fill'!$C$12))-32)/1.8+243.04)))/('Cooling Tower &amp; Corrugated Fill'!$C$14-(0.61094*EXP(17.625*(((C131+0.4*'Cooling Tower &amp; Corrugated Fill'!$C$12))-32)/1.8/((((C131+0.4*'Cooling Tower &amp; Corrugated Fill'!$C$12))-32)/1.8+243.04))))*(1061+0.444*((C131+0.4*'Cooling Tower &amp; Corrugated Fill'!$C$12))))-('Merkel Solver'!$C$4+'Cooling Tower &amp; Corrugated Fill'!$C$13*0.4*'Cooling Tower &amp; Corrugated Fill'!$C$12)</f>
        <v/>
      </c>
      <c r="F131" s="14">
        <f>(0.24*((C131+0.6*'Cooling Tower &amp; Corrugated Fill'!$C$12))+0.62198*(0.61094*EXP(17.625*(((C131+0.6*'Cooling Tower &amp; Corrugated Fill'!$C$12))-32)/1.8/((((C131+0.6*'Cooling Tower &amp; Corrugated Fill'!$C$12))-32)/1.8+243.04)))/('Cooling Tower &amp; Corrugated Fill'!$C$14-(0.61094*EXP(17.625*(((C131+0.6*'Cooling Tower &amp; Corrugated Fill'!$C$12))-32)/1.8/((((C131+0.6*'Cooling Tower &amp; Corrugated Fill'!$C$12))-32)/1.8+243.04))))*(1061+0.444*((C131+0.6*'Cooling Tower &amp; Corrugated Fill'!$C$12))))-('Merkel Solver'!$C$4+'Cooling Tower &amp; Corrugated Fill'!$C$13*0.6*'Cooling Tower &amp; Corrugated Fill'!$C$12)</f>
        <v/>
      </c>
      <c r="G131" s="14">
        <f>(0.24*((C131+0.9*'Cooling Tower &amp; Corrugated Fill'!$C$12))+0.62198*(0.61094*EXP(17.625*(((C131+0.9*'Cooling Tower &amp; Corrugated Fill'!$C$12))-32)/1.8/((((C131+0.9*'Cooling Tower &amp; Corrugated Fill'!$C$12))-32)/1.8+243.04)))/('Cooling Tower &amp; Corrugated Fill'!$C$14-(0.61094*EXP(17.625*(((C131+0.9*'Cooling Tower &amp; Corrugated Fill'!$C$12))-32)/1.8/((((C131+0.9*'Cooling Tower &amp; Corrugated Fill'!$C$12))-32)/1.8+243.04))))*(1061+0.444*((C131+0.9*'Cooling Tower &amp; Corrugated Fill'!$C$12))))-('Merkel Solver'!$C$4+'Cooling Tower &amp; Corrugated Fill'!$C$13*0.9*'Cooling Tower &amp; Corrugated Fill'!$C$12)</f>
        <v/>
      </c>
      <c r="H131" s="22">
        <f>IF(MIN(D131:G131)&lt;=0,99999,'Cooling Tower &amp; Corrugated Fill'!$C$12/4*(1/D131+1/E131+1/F131+1/G131))</f>
        <v/>
      </c>
    </row>
    <row r="132">
      <c r="B132" s="30" t="n">
        <v>12.6</v>
      </c>
      <c r="C132" s="12">
        <f>'Dashboard'!$C$9+B132</f>
        <v/>
      </c>
      <c r="D132" s="14">
        <f>(0.24*((C132+0.1*'Cooling Tower &amp; Corrugated Fill'!$C$12))+0.62198*(0.61094*EXP(17.625*(((C132+0.1*'Cooling Tower &amp; Corrugated Fill'!$C$12))-32)/1.8/((((C132+0.1*'Cooling Tower &amp; Corrugated Fill'!$C$12))-32)/1.8+243.04)))/('Cooling Tower &amp; Corrugated Fill'!$C$14-(0.61094*EXP(17.625*(((C132+0.1*'Cooling Tower &amp; Corrugated Fill'!$C$12))-32)/1.8/((((C132+0.1*'Cooling Tower &amp; Corrugated Fill'!$C$12))-32)/1.8+243.04))))*(1061+0.444*((C132+0.1*'Cooling Tower &amp; Corrugated Fill'!$C$12))))-('Merkel Solver'!$C$4+'Cooling Tower &amp; Corrugated Fill'!$C$13*0.1*'Cooling Tower &amp; Corrugated Fill'!$C$12)</f>
        <v/>
      </c>
      <c r="E132" s="14">
        <f>(0.24*((C132+0.4*'Cooling Tower &amp; Corrugated Fill'!$C$12))+0.62198*(0.61094*EXP(17.625*(((C132+0.4*'Cooling Tower &amp; Corrugated Fill'!$C$12))-32)/1.8/((((C132+0.4*'Cooling Tower &amp; Corrugated Fill'!$C$12))-32)/1.8+243.04)))/('Cooling Tower &amp; Corrugated Fill'!$C$14-(0.61094*EXP(17.625*(((C132+0.4*'Cooling Tower &amp; Corrugated Fill'!$C$12))-32)/1.8/((((C132+0.4*'Cooling Tower &amp; Corrugated Fill'!$C$12))-32)/1.8+243.04))))*(1061+0.444*((C132+0.4*'Cooling Tower &amp; Corrugated Fill'!$C$12))))-('Merkel Solver'!$C$4+'Cooling Tower &amp; Corrugated Fill'!$C$13*0.4*'Cooling Tower &amp; Corrugated Fill'!$C$12)</f>
        <v/>
      </c>
      <c r="F132" s="14">
        <f>(0.24*((C132+0.6*'Cooling Tower &amp; Corrugated Fill'!$C$12))+0.62198*(0.61094*EXP(17.625*(((C132+0.6*'Cooling Tower &amp; Corrugated Fill'!$C$12))-32)/1.8/((((C132+0.6*'Cooling Tower &amp; Corrugated Fill'!$C$12))-32)/1.8+243.04)))/('Cooling Tower &amp; Corrugated Fill'!$C$14-(0.61094*EXP(17.625*(((C132+0.6*'Cooling Tower &amp; Corrugated Fill'!$C$12))-32)/1.8/((((C132+0.6*'Cooling Tower &amp; Corrugated Fill'!$C$12))-32)/1.8+243.04))))*(1061+0.444*((C132+0.6*'Cooling Tower &amp; Corrugated Fill'!$C$12))))-('Merkel Solver'!$C$4+'Cooling Tower &amp; Corrugated Fill'!$C$13*0.6*'Cooling Tower &amp; Corrugated Fill'!$C$12)</f>
        <v/>
      </c>
      <c r="G132" s="14">
        <f>(0.24*((C132+0.9*'Cooling Tower &amp; Corrugated Fill'!$C$12))+0.62198*(0.61094*EXP(17.625*(((C132+0.9*'Cooling Tower &amp; Corrugated Fill'!$C$12))-32)/1.8/((((C132+0.9*'Cooling Tower &amp; Corrugated Fill'!$C$12))-32)/1.8+243.04)))/('Cooling Tower &amp; Corrugated Fill'!$C$14-(0.61094*EXP(17.625*(((C132+0.9*'Cooling Tower &amp; Corrugated Fill'!$C$12))-32)/1.8/((((C132+0.9*'Cooling Tower &amp; Corrugated Fill'!$C$12))-32)/1.8+243.04))))*(1061+0.444*((C132+0.9*'Cooling Tower &amp; Corrugated Fill'!$C$12))))-('Merkel Solver'!$C$4+'Cooling Tower &amp; Corrugated Fill'!$C$13*0.9*'Cooling Tower &amp; Corrugated Fill'!$C$12)</f>
        <v/>
      </c>
      <c r="H132" s="22">
        <f>IF(MIN(D132:G132)&lt;=0,99999,'Cooling Tower &amp; Corrugated Fill'!$C$12/4*(1/D132+1/E132+1/F132+1/G132))</f>
        <v/>
      </c>
    </row>
    <row r="133">
      <c r="B133" s="30" t="n">
        <v>12.7</v>
      </c>
      <c r="C133" s="12">
        <f>'Dashboard'!$C$9+B133</f>
        <v/>
      </c>
      <c r="D133" s="14">
        <f>(0.24*((C133+0.1*'Cooling Tower &amp; Corrugated Fill'!$C$12))+0.62198*(0.61094*EXP(17.625*(((C133+0.1*'Cooling Tower &amp; Corrugated Fill'!$C$12))-32)/1.8/((((C133+0.1*'Cooling Tower &amp; Corrugated Fill'!$C$12))-32)/1.8+243.04)))/('Cooling Tower &amp; Corrugated Fill'!$C$14-(0.61094*EXP(17.625*(((C133+0.1*'Cooling Tower &amp; Corrugated Fill'!$C$12))-32)/1.8/((((C133+0.1*'Cooling Tower &amp; Corrugated Fill'!$C$12))-32)/1.8+243.04))))*(1061+0.444*((C133+0.1*'Cooling Tower &amp; Corrugated Fill'!$C$12))))-('Merkel Solver'!$C$4+'Cooling Tower &amp; Corrugated Fill'!$C$13*0.1*'Cooling Tower &amp; Corrugated Fill'!$C$12)</f>
        <v/>
      </c>
      <c r="E133" s="14">
        <f>(0.24*((C133+0.4*'Cooling Tower &amp; Corrugated Fill'!$C$12))+0.62198*(0.61094*EXP(17.625*(((C133+0.4*'Cooling Tower &amp; Corrugated Fill'!$C$12))-32)/1.8/((((C133+0.4*'Cooling Tower &amp; Corrugated Fill'!$C$12))-32)/1.8+243.04)))/('Cooling Tower &amp; Corrugated Fill'!$C$14-(0.61094*EXP(17.625*(((C133+0.4*'Cooling Tower &amp; Corrugated Fill'!$C$12))-32)/1.8/((((C133+0.4*'Cooling Tower &amp; Corrugated Fill'!$C$12))-32)/1.8+243.04))))*(1061+0.444*((C133+0.4*'Cooling Tower &amp; Corrugated Fill'!$C$12))))-('Merkel Solver'!$C$4+'Cooling Tower &amp; Corrugated Fill'!$C$13*0.4*'Cooling Tower &amp; Corrugated Fill'!$C$12)</f>
        <v/>
      </c>
      <c r="F133" s="14">
        <f>(0.24*((C133+0.6*'Cooling Tower &amp; Corrugated Fill'!$C$12))+0.62198*(0.61094*EXP(17.625*(((C133+0.6*'Cooling Tower &amp; Corrugated Fill'!$C$12))-32)/1.8/((((C133+0.6*'Cooling Tower &amp; Corrugated Fill'!$C$12))-32)/1.8+243.04)))/('Cooling Tower &amp; Corrugated Fill'!$C$14-(0.61094*EXP(17.625*(((C133+0.6*'Cooling Tower &amp; Corrugated Fill'!$C$12))-32)/1.8/((((C133+0.6*'Cooling Tower &amp; Corrugated Fill'!$C$12))-32)/1.8+243.04))))*(1061+0.444*((C133+0.6*'Cooling Tower &amp; Corrugated Fill'!$C$12))))-('Merkel Solver'!$C$4+'Cooling Tower &amp; Corrugated Fill'!$C$13*0.6*'Cooling Tower &amp; Corrugated Fill'!$C$12)</f>
        <v/>
      </c>
      <c r="G133" s="14">
        <f>(0.24*((C133+0.9*'Cooling Tower &amp; Corrugated Fill'!$C$12))+0.62198*(0.61094*EXP(17.625*(((C133+0.9*'Cooling Tower &amp; Corrugated Fill'!$C$12))-32)/1.8/((((C133+0.9*'Cooling Tower &amp; Corrugated Fill'!$C$12))-32)/1.8+243.04)))/('Cooling Tower &amp; Corrugated Fill'!$C$14-(0.61094*EXP(17.625*(((C133+0.9*'Cooling Tower &amp; Corrugated Fill'!$C$12))-32)/1.8/((((C133+0.9*'Cooling Tower &amp; Corrugated Fill'!$C$12))-32)/1.8+243.04))))*(1061+0.444*((C133+0.9*'Cooling Tower &amp; Corrugated Fill'!$C$12))))-('Merkel Solver'!$C$4+'Cooling Tower &amp; Corrugated Fill'!$C$13*0.9*'Cooling Tower &amp; Corrugated Fill'!$C$12)</f>
        <v/>
      </c>
      <c r="H133" s="22">
        <f>IF(MIN(D133:G133)&lt;=0,99999,'Cooling Tower &amp; Corrugated Fill'!$C$12/4*(1/D133+1/E133+1/F133+1/G133))</f>
        <v/>
      </c>
    </row>
    <row r="134">
      <c r="B134" s="30" t="n">
        <v>12.8</v>
      </c>
      <c r="C134" s="12">
        <f>'Dashboard'!$C$9+B134</f>
        <v/>
      </c>
      <c r="D134" s="14">
        <f>(0.24*((C134+0.1*'Cooling Tower &amp; Corrugated Fill'!$C$12))+0.62198*(0.61094*EXP(17.625*(((C134+0.1*'Cooling Tower &amp; Corrugated Fill'!$C$12))-32)/1.8/((((C134+0.1*'Cooling Tower &amp; Corrugated Fill'!$C$12))-32)/1.8+243.04)))/('Cooling Tower &amp; Corrugated Fill'!$C$14-(0.61094*EXP(17.625*(((C134+0.1*'Cooling Tower &amp; Corrugated Fill'!$C$12))-32)/1.8/((((C134+0.1*'Cooling Tower &amp; Corrugated Fill'!$C$12))-32)/1.8+243.04))))*(1061+0.444*((C134+0.1*'Cooling Tower &amp; Corrugated Fill'!$C$12))))-('Merkel Solver'!$C$4+'Cooling Tower &amp; Corrugated Fill'!$C$13*0.1*'Cooling Tower &amp; Corrugated Fill'!$C$12)</f>
        <v/>
      </c>
      <c r="E134" s="14">
        <f>(0.24*((C134+0.4*'Cooling Tower &amp; Corrugated Fill'!$C$12))+0.62198*(0.61094*EXP(17.625*(((C134+0.4*'Cooling Tower &amp; Corrugated Fill'!$C$12))-32)/1.8/((((C134+0.4*'Cooling Tower &amp; Corrugated Fill'!$C$12))-32)/1.8+243.04)))/('Cooling Tower &amp; Corrugated Fill'!$C$14-(0.61094*EXP(17.625*(((C134+0.4*'Cooling Tower &amp; Corrugated Fill'!$C$12))-32)/1.8/((((C134+0.4*'Cooling Tower &amp; Corrugated Fill'!$C$12))-32)/1.8+243.04))))*(1061+0.444*((C134+0.4*'Cooling Tower &amp; Corrugated Fill'!$C$12))))-('Merkel Solver'!$C$4+'Cooling Tower &amp; Corrugated Fill'!$C$13*0.4*'Cooling Tower &amp; Corrugated Fill'!$C$12)</f>
        <v/>
      </c>
      <c r="F134" s="14">
        <f>(0.24*((C134+0.6*'Cooling Tower &amp; Corrugated Fill'!$C$12))+0.62198*(0.61094*EXP(17.625*(((C134+0.6*'Cooling Tower &amp; Corrugated Fill'!$C$12))-32)/1.8/((((C134+0.6*'Cooling Tower &amp; Corrugated Fill'!$C$12))-32)/1.8+243.04)))/('Cooling Tower &amp; Corrugated Fill'!$C$14-(0.61094*EXP(17.625*(((C134+0.6*'Cooling Tower &amp; Corrugated Fill'!$C$12))-32)/1.8/((((C134+0.6*'Cooling Tower &amp; Corrugated Fill'!$C$12))-32)/1.8+243.04))))*(1061+0.444*((C134+0.6*'Cooling Tower &amp; Corrugated Fill'!$C$12))))-('Merkel Solver'!$C$4+'Cooling Tower &amp; Corrugated Fill'!$C$13*0.6*'Cooling Tower &amp; Corrugated Fill'!$C$12)</f>
        <v/>
      </c>
      <c r="G134" s="14">
        <f>(0.24*((C134+0.9*'Cooling Tower &amp; Corrugated Fill'!$C$12))+0.62198*(0.61094*EXP(17.625*(((C134+0.9*'Cooling Tower &amp; Corrugated Fill'!$C$12))-32)/1.8/((((C134+0.9*'Cooling Tower &amp; Corrugated Fill'!$C$12))-32)/1.8+243.04)))/('Cooling Tower &amp; Corrugated Fill'!$C$14-(0.61094*EXP(17.625*(((C134+0.9*'Cooling Tower &amp; Corrugated Fill'!$C$12))-32)/1.8/((((C134+0.9*'Cooling Tower &amp; Corrugated Fill'!$C$12))-32)/1.8+243.04))))*(1061+0.444*((C134+0.9*'Cooling Tower &amp; Corrugated Fill'!$C$12))))-('Merkel Solver'!$C$4+'Cooling Tower &amp; Corrugated Fill'!$C$13*0.9*'Cooling Tower &amp; Corrugated Fill'!$C$12)</f>
        <v/>
      </c>
      <c r="H134" s="22">
        <f>IF(MIN(D134:G134)&lt;=0,99999,'Cooling Tower &amp; Corrugated Fill'!$C$12/4*(1/D134+1/E134+1/F134+1/G134))</f>
        <v/>
      </c>
    </row>
    <row r="135">
      <c r="B135" s="30" t="n">
        <v>12.9</v>
      </c>
      <c r="C135" s="12">
        <f>'Dashboard'!$C$9+B135</f>
        <v/>
      </c>
      <c r="D135" s="14">
        <f>(0.24*((C135+0.1*'Cooling Tower &amp; Corrugated Fill'!$C$12))+0.62198*(0.61094*EXP(17.625*(((C135+0.1*'Cooling Tower &amp; Corrugated Fill'!$C$12))-32)/1.8/((((C135+0.1*'Cooling Tower &amp; Corrugated Fill'!$C$12))-32)/1.8+243.04)))/('Cooling Tower &amp; Corrugated Fill'!$C$14-(0.61094*EXP(17.625*(((C135+0.1*'Cooling Tower &amp; Corrugated Fill'!$C$12))-32)/1.8/((((C135+0.1*'Cooling Tower &amp; Corrugated Fill'!$C$12))-32)/1.8+243.04))))*(1061+0.444*((C135+0.1*'Cooling Tower &amp; Corrugated Fill'!$C$12))))-('Merkel Solver'!$C$4+'Cooling Tower &amp; Corrugated Fill'!$C$13*0.1*'Cooling Tower &amp; Corrugated Fill'!$C$12)</f>
        <v/>
      </c>
      <c r="E135" s="14">
        <f>(0.24*((C135+0.4*'Cooling Tower &amp; Corrugated Fill'!$C$12))+0.62198*(0.61094*EXP(17.625*(((C135+0.4*'Cooling Tower &amp; Corrugated Fill'!$C$12))-32)/1.8/((((C135+0.4*'Cooling Tower &amp; Corrugated Fill'!$C$12))-32)/1.8+243.04)))/('Cooling Tower &amp; Corrugated Fill'!$C$14-(0.61094*EXP(17.625*(((C135+0.4*'Cooling Tower &amp; Corrugated Fill'!$C$12))-32)/1.8/((((C135+0.4*'Cooling Tower &amp; Corrugated Fill'!$C$12))-32)/1.8+243.04))))*(1061+0.444*((C135+0.4*'Cooling Tower &amp; Corrugated Fill'!$C$12))))-('Merkel Solver'!$C$4+'Cooling Tower &amp; Corrugated Fill'!$C$13*0.4*'Cooling Tower &amp; Corrugated Fill'!$C$12)</f>
        <v/>
      </c>
      <c r="F135" s="14">
        <f>(0.24*((C135+0.6*'Cooling Tower &amp; Corrugated Fill'!$C$12))+0.62198*(0.61094*EXP(17.625*(((C135+0.6*'Cooling Tower &amp; Corrugated Fill'!$C$12))-32)/1.8/((((C135+0.6*'Cooling Tower &amp; Corrugated Fill'!$C$12))-32)/1.8+243.04)))/('Cooling Tower &amp; Corrugated Fill'!$C$14-(0.61094*EXP(17.625*(((C135+0.6*'Cooling Tower &amp; Corrugated Fill'!$C$12))-32)/1.8/((((C135+0.6*'Cooling Tower &amp; Corrugated Fill'!$C$12))-32)/1.8+243.04))))*(1061+0.444*((C135+0.6*'Cooling Tower &amp; Corrugated Fill'!$C$12))))-('Merkel Solver'!$C$4+'Cooling Tower &amp; Corrugated Fill'!$C$13*0.6*'Cooling Tower &amp; Corrugated Fill'!$C$12)</f>
        <v/>
      </c>
      <c r="G135" s="14">
        <f>(0.24*((C135+0.9*'Cooling Tower &amp; Corrugated Fill'!$C$12))+0.62198*(0.61094*EXP(17.625*(((C135+0.9*'Cooling Tower &amp; Corrugated Fill'!$C$12))-32)/1.8/((((C135+0.9*'Cooling Tower &amp; Corrugated Fill'!$C$12))-32)/1.8+243.04)))/('Cooling Tower &amp; Corrugated Fill'!$C$14-(0.61094*EXP(17.625*(((C135+0.9*'Cooling Tower &amp; Corrugated Fill'!$C$12))-32)/1.8/((((C135+0.9*'Cooling Tower &amp; Corrugated Fill'!$C$12))-32)/1.8+243.04))))*(1061+0.444*((C135+0.9*'Cooling Tower &amp; Corrugated Fill'!$C$12))))-('Merkel Solver'!$C$4+'Cooling Tower &amp; Corrugated Fill'!$C$13*0.9*'Cooling Tower &amp; Corrugated Fill'!$C$12)</f>
        <v/>
      </c>
      <c r="H135" s="22">
        <f>IF(MIN(D135:G135)&lt;=0,99999,'Cooling Tower &amp; Corrugated Fill'!$C$12/4*(1/D135+1/E135+1/F135+1/G135))</f>
        <v/>
      </c>
    </row>
    <row r="136">
      <c r="B136" s="30" t="n">
        <v>13</v>
      </c>
      <c r="C136" s="12">
        <f>'Dashboard'!$C$9+B136</f>
        <v/>
      </c>
      <c r="D136" s="14">
        <f>(0.24*((C136+0.1*'Cooling Tower &amp; Corrugated Fill'!$C$12))+0.62198*(0.61094*EXP(17.625*(((C136+0.1*'Cooling Tower &amp; Corrugated Fill'!$C$12))-32)/1.8/((((C136+0.1*'Cooling Tower &amp; Corrugated Fill'!$C$12))-32)/1.8+243.04)))/('Cooling Tower &amp; Corrugated Fill'!$C$14-(0.61094*EXP(17.625*(((C136+0.1*'Cooling Tower &amp; Corrugated Fill'!$C$12))-32)/1.8/((((C136+0.1*'Cooling Tower &amp; Corrugated Fill'!$C$12))-32)/1.8+243.04))))*(1061+0.444*((C136+0.1*'Cooling Tower &amp; Corrugated Fill'!$C$12))))-('Merkel Solver'!$C$4+'Cooling Tower &amp; Corrugated Fill'!$C$13*0.1*'Cooling Tower &amp; Corrugated Fill'!$C$12)</f>
        <v/>
      </c>
      <c r="E136" s="14">
        <f>(0.24*((C136+0.4*'Cooling Tower &amp; Corrugated Fill'!$C$12))+0.62198*(0.61094*EXP(17.625*(((C136+0.4*'Cooling Tower &amp; Corrugated Fill'!$C$12))-32)/1.8/((((C136+0.4*'Cooling Tower &amp; Corrugated Fill'!$C$12))-32)/1.8+243.04)))/('Cooling Tower &amp; Corrugated Fill'!$C$14-(0.61094*EXP(17.625*(((C136+0.4*'Cooling Tower &amp; Corrugated Fill'!$C$12))-32)/1.8/((((C136+0.4*'Cooling Tower &amp; Corrugated Fill'!$C$12))-32)/1.8+243.04))))*(1061+0.444*((C136+0.4*'Cooling Tower &amp; Corrugated Fill'!$C$12))))-('Merkel Solver'!$C$4+'Cooling Tower &amp; Corrugated Fill'!$C$13*0.4*'Cooling Tower &amp; Corrugated Fill'!$C$12)</f>
        <v/>
      </c>
      <c r="F136" s="14">
        <f>(0.24*((C136+0.6*'Cooling Tower &amp; Corrugated Fill'!$C$12))+0.62198*(0.61094*EXP(17.625*(((C136+0.6*'Cooling Tower &amp; Corrugated Fill'!$C$12))-32)/1.8/((((C136+0.6*'Cooling Tower &amp; Corrugated Fill'!$C$12))-32)/1.8+243.04)))/('Cooling Tower &amp; Corrugated Fill'!$C$14-(0.61094*EXP(17.625*(((C136+0.6*'Cooling Tower &amp; Corrugated Fill'!$C$12))-32)/1.8/((((C136+0.6*'Cooling Tower &amp; Corrugated Fill'!$C$12))-32)/1.8+243.04))))*(1061+0.444*((C136+0.6*'Cooling Tower &amp; Corrugated Fill'!$C$12))))-('Merkel Solver'!$C$4+'Cooling Tower &amp; Corrugated Fill'!$C$13*0.6*'Cooling Tower &amp; Corrugated Fill'!$C$12)</f>
        <v/>
      </c>
      <c r="G136" s="14">
        <f>(0.24*((C136+0.9*'Cooling Tower &amp; Corrugated Fill'!$C$12))+0.62198*(0.61094*EXP(17.625*(((C136+0.9*'Cooling Tower &amp; Corrugated Fill'!$C$12))-32)/1.8/((((C136+0.9*'Cooling Tower &amp; Corrugated Fill'!$C$12))-32)/1.8+243.04)))/('Cooling Tower &amp; Corrugated Fill'!$C$14-(0.61094*EXP(17.625*(((C136+0.9*'Cooling Tower &amp; Corrugated Fill'!$C$12))-32)/1.8/((((C136+0.9*'Cooling Tower &amp; Corrugated Fill'!$C$12))-32)/1.8+243.04))))*(1061+0.444*((C136+0.9*'Cooling Tower &amp; Corrugated Fill'!$C$12))))-('Merkel Solver'!$C$4+'Cooling Tower &amp; Corrugated Fill'!$C$13*0.9*'Cooling Tower &amp; Corrugated Fill'!$C$12)</f>
        <v/>
      </c>
      <c r="H136" s="22">
        <f>IF(MIN(D136:G136)&lt;=0,99999,'Cooling Tower &amp; Corrugated Fill'!$C$12/4*(1/D136+1/E136+1/F136+1/G136))</f>
        <v/>
      </c>
    </row>
    <row r="137">
      <c r="B137" s="30" t="n">
        <v>13.1</v>
      </c>
      <c r="C137" s="12">
        <f>'Dashboard'!$C$9+B137</f>
        <v/>
      </c>
      <c r="D137" s="14">
        <f>(0.24*((C137+0.1*'Cooling Tower &amp; Corrugated Fill'!$C$12))+0.62198*(0.61094*EXP(17.625*(((C137+0.1*'Cooling Tower &amp; Corrugated Fill'!$C$12))-32)/1.8/((((C137+0.1*'Cooling Tower &amp; Corrugated Fill'!$C$12))-32)/1.8+243.04)))/('Cooling Tower &amp; Corrugated Fill'!$C$14-(0.61094*EXP(17.625*(((C137+0.1*'Cooling Tower &amp; Corrugated Fill'!$C$12))-32)/1.8/((((C137+0.1*'Cooling Tower &amp; Corrugated Fill'!$C$12))-32)/1.8+243.04))))*(1061+0.444*((C137+0.1*'Cooling Tower &amp; Corrugated Fill'!$C$12))))-('Merkel Solver'!$C$4+'Cooling Tower &amp; Corrugated Fill'!$C$13*0.1*'Cooling Tower &amp; Corrugated Fill'!$C$12)</f>
        <v/>
      </c>
      <c r="E137" s="14">
        <f>(0.24*((C137+0.4*'Cooling Tower &amp; Corrugated Fill'!$C$12))+0.62198*(0.61094*EXP(17.625*(((C137+0.4*'Cooling Tower &amp; Corrugated Fill'!$C$12))-32)/1.8/((((C137+0.4*'Cooling Tower &amp; Corrugated Fill'!$C$12))-32)/1.8+243.04)))/('Cooling Tower &amp; Corrugated Fill'!$C$14-(0.61094*EXP(17.625*(((C137+0.4*'Cooling Tower &amp; Corrugated Fill'!$C$12))-32)/1.8/((((C137+0.4*'Cooling Tower &amp; Corrugated Fill'!$C$12))-32)/1.8+243.04))))*(1061+0.444*((C137+0.4*'Cooling Tower &amp; Corrugated Fill'!$C$12))))-('Merkel Solver'!$C$4+'Cooling Tower &amp; Corrugated Fill'!$C$13*0.4*'Cooling Tower &amp; Corrugated Fill'!$C$12)</f>
        <v/>
      </c>
      <c r="F137" s="14">
        <f>(0.24*((C137+0.6*'Cooling Tower &amp; Corrugated Fill'!$C$12))+0.62198*(0.61094*EXP(17.625*(((C137+0.6*'Cooling Tower &amp; Corrugated Fill'!$C$12))-32)/1.8/((((C137+0.6*'Cooling Tower &amp; Corrugated Fill'!$C$12))-32)/1.8+243.04)))/('Cooling Tower &amp; Corrugated Fill'!$C$14-(0.61094*EXP(17.625*(((C137+0.6*'Cooling Tower &amp; Corrugated Fill'!$C$12))-32)/1.8/((((C137+0.6*'Cooling Tower &amp; Corrugated Fill'!$C$12))-32)/1.8+243.04))))*(1061+0.444*((C137+0.6*'Cooling Tower &amp; Corrugated Fill'!$C$12))))-('Merkel Solver'!$C$4+'Cooling Tower &amp; Corrugated Fill'!$C$13*0.6*'Cooling Tower &amp; Corrugated Fill'!$C$12)</f>
        <v/>
      </c>
      <c r="G137" s="14">
        <f>(0.24*((C137+0.9*'Cooling Tower &amp; Corrugated Fill'!$C$12))+0.62198*(0.61094*EXP(17.625*(((C137+0.9*'Cooling Tower &amp; Corrugated Fill'!$C$12))-32)/1.8/((((C137+0.9*'Cooling Tower &amp; Corrugated Fill'!$C$12))-32)/1.8+243.04)))/('Cooling Tower &amp; Corrugated Fill'!$C$14-(0.61094*EXP(17.625*(((C137+0.9*'Cooling Tower &amp; Corrugated Fill'!$C$12))-32)/1.8/((((C137+0.9*'Cooling Tower &amp; Corrugated Fill'!$C$12))-32)/1.8+243.04))))*(1061+0.444*((C137+0.9*'Cooling Tower &amp; Corrugated Fill'!$C$12))))-('Merkel Solver'!$C$4+'Cooling Tower &amp; Corrugated Fill'!$C$13*0.9*'Cooling Tower &amp; Corrugated Fill'!$C$12)</f>
        <v/>
      </c>
      <c r="H137" s="22">
        <f>IF(MIN(D137:G137)&lt;=0,99999,'Cooling Tower &amp; Corrugated Fill'!$C$12/4*(1/D137+1/E137+1/F137+1/G137))</f>
        <v/>
      </c>
    </row>
    <row r="138">
      <c r="B138" s="30" t="n">
        <v>13.2</v>
      </c>
      <c r="C138" s="12">
        <f>'Dashboard'!$C$9+B138</f>
        <v/>
      </c>
      <c r="D138" s="14">
        <f>(0.24*((C138+0.1*'Cooling Tower &amp; Corrugated Fill'!$C$12))+0.62198*(0.61094*EXP(17.625*(((C138+0.1*'Cooling Tower &amp; Corrugated Fill'!$C$12))-32)/1.8/((((C138+0.1*'Cooling Tower &amp; Corrugated Fill'!$C$12))-32)/1.8+243.04)))/('Cooling Tower &amp; Corrugated Fill'!$C$14-(0.61094*EXP(17.625*(((C138+0.1*'Cooling Tower &amp; Corrugated Fill'!$C$12))-32)/1.8/((((C138+0.1*'Cooling Tower &amp; Corrugated Fill'!$C$12))-32)/1.8+243.04))))*(1061+0.444*((C138+0.1*'Cooling Tower &amp; Corrugated Fill'!$C$12))))-('Merkel Solver'!$C$4+'Cooling Tower &amp; Corrugated Fill'!$C$13*0.1*'Cooling Tower &amp; Corrugated Fill'!$C$12)</f>
        <v/>
      </c>
      <c r="E138" s="14">
        <f>(0.24*((C138+0.4*'Cooling Tower &amp; Corrugated Fill'!$C$12))+0.62198*(0.61094*EXP(17.625*(((C138+0.4*'Cooling Tower &amp; Corrugated Fill'!$C$12))-32)/1.8/((((C138+0.4*'Cooling Tower &amp; Corrugated Fill'!$C$12))-32)/1.8+243.04)))/('Cooling Tower &amp; Corrugated Fill'!$C$14-(0.61094*EXP(17.625*(((C138+0.4*'Cooling Tower &amp; Corrugated Fill'!$C$12))-32)/1.8/((((C138+0.4*'Cooling Tower &amp; Corrugated Fill'!$C$12))-32)/1.8+243.04))))*(1061+0.444*((C138+0.4*'Cooling Tower &amp; Corrugated Fill'!$C$12))))-('Merkel Solver'!$C$4+'Cooling Tower &amp; Corrugated Fill'!$C$13*0.4*'Cooling Tower &amp; Corrugated Fill'!$C$12)</f>
        <v/>
      </c>
      <c r="F138" s="14">
        <f>(0.24*((C138+0.6*'Cooling Tower &amp; Corrugated Fill'!$C$12))+0.62198*(0.61094*EXP(17.625*(((C138+0.6*'Cooling Tower &amp; Corrugated Fill'!$C$12))-32)/1.8/((((C138+0.6*'Cooling Tower &amp; Corrugated Fill'!$C$12))-32)/1.8+243.04)))/('Cooling Tower &amp; Corrugated Fill'!$C$14-(0.61094*EXP(17.625*(((C138+0.6*'Cooling Tower &amp; Corrugated Fill'!$C$12))-32)/1.8/((((C138+0.6*'Cooling Tower &amp; Corrugated Fill'!$C$12))-32)/1.8+243.04))))*(1061+0.444*((C138+0.6*'Cooling Tower &amp; Corrugated Fill'!$C$12))))-('Merkel Solver'!$C$4+'Cooling Tower &amp; Corrugated Fill'!$C$13*0.6*'Cooling Tower &amp; Corrugated Fill'!$C$12)</f>
        <v/>
      </c>
      <c r="G138" s="14">
        <f>(0.24*((C138+0.9*'Cooling Tower &amp; Corrugated Fill'!$C$12))+0.62198*(0.61094*EXP(17.625*(((C138+0.9*'Cooling Tower &amp; Corrugated Fill'!$C$12))-32)/1.8/((((C138+0.9*'Cooling Tower &amp; Corrugated Fill'!$C$12))-32)/1.8+243.04)))/('Cooling Tower &amp; Corrugated Fill'!$C$14-(0.61094*EXP(17.625*(((C138+0.9*'Cooling Tower &amp; Corrugated Fill'!$C$12))-32)/1.8/((((C138+0.9*'Cooling Tower &amp; Corrugated Fill'!$C$12))-32)/1.8+243.04))))*(1061+0.444*((C138+0.9*'Cooling Tower &amp; Corrugated Fill'!$C$12))))-('Merkel Solver'!$C$4+'Cooling Tower &amp; Corrugated Fill'!$C$13*0.9*'Cooling Tower &amp; Corrugated Fill'!$C$12)</f>
        <v/>
      </c>
      <c r="H138" s="22">
        <f>IF(MIN(D138:G138)&lt;=0,99999,'Cooling Tower &amp; Corrugated Fill'!$C$12/4*(1/D138+1/E138+1/F138+1/G138))</f>
        <v/>
      </c>
    </row>
    <row r="139">
      <c r="B139" s="30" t="n">
        <v>13.3</v>
      </c>
      <c r="C139" s="12">
        <f>'Dashboard'!$C$9+B139</f>
        <v/>
      </c>
      <c r="D139" s="14">
        <f>(0.24*((C139+0.1*'Cooling Tower &amp; Corrugated Fill'!$C$12))+0.62198*(0.61094*EXP(17.625*(((C139+0.1*'Cooling Tower &amp; Corrugated Fill'!$C$12))-32)/1.8/((((C139+0.1*'Cooling Tower &amp; Corrugated Fill'!$C$12))-32)/1.8+243.04)))/('Cooling Tower &amp; Corrugated Fill'!$C$14-(0.61094*EXP(17.625*(((C139+0.1*'Cooling Tower &amp; Corrugated Fill'!$C$12))-32)/1.8/((((C139+0.1*'Cooling Tower &amp; Corrugated Fill'!$C$12))-32)/1.8+243.04))))*(1061+0.444*((C139+0.1*'Cooling Tower &amp; Corrugated Fill'!$C$12))))-('Merkel Solver'!$C$4+'Cooling Tower &amp; Corrugated Fill'!$C$13*0.1*'Cooling Tower &amp; Corrugated Fill'!$C$12)</f>
        <v/>
      </c>
      <c r="E139" s="14">
        <f>(0.24*((C139+0.4*'Cooling Tower &amp; Corrugated Fill'!$C$12))+0.62198*(0.61094*EXP(17.625*(((C139+0.4*'Cooling Tower &amp; Corrugated Fill'!$C$12))-32)/1.8/((((C139+0.4*'Cooling Tower &amp; Corrugated Fill'!$C$12))-32)/1.8+243.04)))/('Cooling Tower &amp; Corrugated Fill'!$C$14-(0.61094*EXP(17.625*(((C139+0.4*'Cooling Tower &amp; Corrugated Fill'!$C$12))-32)/1.8/((((C139+0.4*'Cooling Tower &amp; Corrugated Fill'!$C$12))-32)/1.8+243.04))))*(1061+0.444*((C139+0.4*'Cooling Tower &amp; Corrugated Fill'!$C$12))))-('Merkel Solver'!$C$4+'Cooling Tower &amp; Corrugated Fill'!$C$13*0.4*'Cooling Tower &amp; Corrugated Fill'!$C$12)</f>
        <v/>
      </c>
      <c r="F139" s="14">
        <f>(0.24*((C139+0.6*'Cooling Tower &amp; Corrugated Fill'!$C$12))+0.62198*(0.61094*EXP(17.625*(((C139+0.6*'Cooling Tower &amp; Corrugated Fill'!$C$12))-32)/1.8/((((C139+0.6*'Cooling Tower &amp; Corrugated Fill'!$C$12))-32)/1.8+243.04)))/('Cooling Tower &amp; Corrugated Fill'!$C$14-(0.61094*EXP(17.625*(((C139+0.6*'Cooling Tower &amp; Corrugated Fill'!$C$12))-32)/1.8/((((C139+0.6*'Cooling Tower &amp; Corrugated Fill'!$C$12))-32)/1.8+243.04))))*(1061+0.444*((C139+0.6*'Cooling Tower &amp; Corrugated Fill'!$C$12))))-('Merkel Solver'!$C$4+'Cooling Tower &amp; Corrugated Fill'!$C$13*0.6*'Cooling Tower &amp; Corrugated Fill'!$C$12)</f>
        <v/>
      </c>
      <c r="G139" s="14">
        <f>(0.24*((C139+0.9*'Cooling Tower &amp; Corrugated Fill'!$C$12))+0.62198*(0.61094*EXP(17.625*(((C139+0.9*'Cooling Tower &amp; Corrugated Fill'!$C$12))-32)/1.8/((((C139+0.9*'Cooling Tower &amp; Corrugated Fill'!$C$12))-32)/1.8+243.04)))/('Cooling Tower &amp; Corrugated Fill'!$C$14-(0.61094*EXP(17.625*(((C139+0.9*'Cooling Tower &amp; Corrugated Fill'!$C$12))-32)/1.8/((((C139+0.9*'Cooling Tower &amp; Corrugated Fill'!$C$12))-32)/1.8+243.04))))*(1061+0.444*((C139+0.9*'Cooling Tower &amp; Corrugated Fill'!$C$12))))-('Merkel Solver'!$C$4+'Cooling Tower &amp; Corrugated Fill'!$C$13*0.9*'Cooling Tower &amp; Corrugated Fill'!$C$12)</f>
        <v/>
      </c>
      <c r="H139" s="22">
        <f>IF(MIN(D139:G139)&lt;=0,99999,'Cooling Tower &amp; Corrugated Fill'!$C$12/4*(1/D139+1/E139+1/F139+1/G139))</f>
        <v/>
      </c>
    </row>
    <row r="140">
      <c r="B140" s="30" t="n">
        <v>13.4</v>
      </c>
      <c r="C140" s="12">
        <f>'Dashboard'!$C$9+B140</f>
        <v/>
      </c>
      <c r="D140" s="14">
        <f>(0.24*((C140+0.1*'Cooling Tower &amp; Corrugated Fill'!$C$12))+0.62198*(0.61094*EXP(17.625*(((C140+0.1*'Cooling Tower &amp; Corrugated Fill'!$C$12))-32)/1.8/((((C140+0.1*'Cooling Tower &amp; Corrugated Fill'!$C$12))-32)/1.8+243.04)))/('Cooling Tower &amp; Corrugated Fill'!$C$14-(0.61094*EXP(17.625*(((C140+0.1*'Cooling Tower &amp; Corrugated Fill'!$C$12))-32)/1.8/((((C140+0.1*'Cooling Tower &amp; Corrugated Fill'!$C$12))-32)/1.8+243.04))))*(1061+0.444*((C140+0.1*'Cooling Tower &amp; Corrugated Fill'!$C$12))))-('Merkel Solver'!$C$4+'Cooling Tower &amp; Corrugated Fill'!$C$13*0.1*'Cooling Tower &amp; Corrugated Fill'!$C$12)</f>
        <v/>
      </c>
      <c r="E140" s="14">
        <f>(0.24*((C140+0.4*'Cooling Tower &amp; Corrugated Fill'!$C$12))+0.62198*(0.61094*EXP(17.625*(((C140+0.4*'Cooling Tower &amp; Corrugated Fill'!$C$12))-32)/1.8/((((C140+0.4*'Cooling Tower &amp; Corrugated Fill'!$C$12))-32)/1.8+243.04)))/('Cooling Tower &amp; Corrugated Fill'!$C$14-(0.61094*EXP(17.625*(((C140+0.4*'Cooling Tower &amp; Corrugated Fill'!$C$12))-32)/1.8/((((C140+0.4*'Cooling Tower &amp; Corrugated Fill'!$C$12))-32)/1.8+243.04))))*(1061+0.444*((C140+0.4*'Cooling Tower &amp; Corrugated Fill'!$C$12))))-('Merkel Solver'!$C$4+'Cooling Tower &amp; Corrugated Fill'!$C$13*0.4*'Cooling Tower &amp; Corrugated Fill'!$C$12)</f>
        <v/>
      </c>
      <c r="F140" s="14">
        <f>(0.24*((C140+0.6*'Cooling Tower &amp; Corrugated Fill'!$C$12))+0.62198*(0.61094*EXP(17.625*(((C140+0.6*'Cooling Tower &amp; Corrugated Fill'!$C$12))-32)/1.8/((((C140+0.6*'Cooling Tower &amp; Corrugated Fill'!$C$12))-32)/1.8+243.04)))/('Cooling Tower &amp; Corrugated Fill'!$C$14-(0.61094*EXP(17.625*(((C140+0.6*'Cooling Tower &amp; Corrugated Fill'!$C$12))-32)/1.8/((((C140+0.6*'Cooling Tower &amp; Corrugated Fill'!$C$12))-32)/1.8+243.04))))*(1061+0.444*((C140+0.6*'Cooling Tower &amp; Corrugated Fill'!$C$12))))-('Merkel Solver'!$C$4+'Cooling Tower &amp; Corrugated Fill'!$C$13*0.6*'Cooling Tower &amp; Corrugated Fill'!$C$12)</f>
        <v/>
      </c>
      <c r="G140" s="14">
        <f>(0.24*((C140+0.9*'Cooling Tower &amp; Corrugated Fill'!$C$12))+0.62198*(0.61094*EXP(17.625*(((C140+0.9*'Cooling Tower &amp; Corrugated Fill'!$C$12))-32)/1.8/((((C140+0.9*'Cooling Tower &amp; Corrugated Fill'!$C$12))-32)/1.8+243.04)))/('Cooling Tower &amp; Corrugated Fill'!$C$14-(0.61094*EXP(17.625*(((C140+0.9*'Cooling Tower &amp; Corrugated Fill'!$C$12))-32)/1.8/((((C140+0.9*'Cooling Tower &amp; Corrugated Fill'!$C$12))-32)/1.8+243.04))))*(1061+0.444*((C140+0.9*'Cooling Tower &amp; Corrugated Fill'!$C$12))))-('Merkel Solver'!$C$4+'Cooling Tower &amp; Corrugated Fill'!$C$13*0.9*'Cooling Tower &amp; Corrugated Fill'!$C$12)</f>
        <v/>
      </c>
      <c r="H140" s="22">
        <f>IF(MIN(D140:G140)&lt;=0,99999,'Cooling Tower &amp; Corrugated Fill'!$C$12/4*(1/D140+1/E140+1/F140+1/G140))</f>
        <v/>
      </c>
    </row>
    <row r="141">
      <c r="B141" s="30" t="n">
        <v>13.5</v>
      </c>
      <c r="C141" s="12">
        <f>'Dashboard'!$C$9+B141</f>
        <v/>
      </c>
      <c r="D141" s="14">
        <f>(0.24*((C141+0.1*'Cooling Tower &amp; Corrugated Fill'!$C$12))+0.62198*(0.61094*EXP(17.625*(((C141+0.1*'Cooling Tower &amp; Corrugated Fill'!$C$12))-32)/1.8/((((C141+0.1*'Cooling Tower &amp; Corrugated Fill'!$C$12))-32)/1.8+243.04)))/('Cooling Tower &amp; Corrugated Fill'!$C$14-(0.61094*EXP(17.625*(((C141+0.1*'Cooling Tower &amp; Corrugated Fill'!$C$12))-32)/1.8/((((C141+0.1*'Cooling Tower &amp; Corrugated Fill'!$C$12))-32)/1.8+243.04))))*(1061+0.444*((C141+0.1*'Cooling Tower &amp; Corrugated Fill'!$C$12))))-('Merkel Solver'!$C$4+'Cooling Tower &amp; Corrugated Fill'!$C$13*0.1*'Cooling Tower &amp; Corrugated Fill'!$C$12)</f>
        <v/>
      </c>
      <c r="E141" s="14">
        <f>(0.24*((C141+0.4*'Cooling Tower &amp; Corrugated Fill'!$C$12))+0.62198*(0.61094*EXP(17.625*(((C141+0.4*'Cooling Tower &amp; Corrugated Fill'!$C$12))-32)/1.8/((((C141+0.4*'Cooling Tower &amp; Corrugated Fill'!$C$12))-32)/1.8+243.04)))/('Cooling Tower &amp; Corrugated Fill'!$C$14-(0.61094*EXP(17.625*(((C141+0.4*'Cooling Tower &amp; Corrugated Fill'!$C$12))-32)/1.8/((((C141+0.4*'Cooling Tower &amp; Corrugated Fill'!$C$12))-32)/1.8+243.04))))*(1061+0.444*((C141+0.4*'Cooling Tower &amp; Corrugated Fill'!$C$12))))-('Merkel Solver'!$C$4+'Cooling Tower &amp; Corrugated Fill'!$C$13*0.4*'Cooling Tower &amp; Corrugated Fill'!$C$12)</f>
        <v/>
      </c>
      <c r="F141" s="14">
        <f>(0.24*((C141+0.6*'Cooling Tower &amp; Corrugated Fill'!$C$12))+0.62198*(0.61094*EXP(17.625*(((C141+0.6*'Cooling Tower &amp; Corrugated Fill'!$C$12))-32)/1.8/((((C141+0.6*'Cooling Tower &amp; Corrugated Fill'!$C$12))-32)/1.8+243.04)))/('Cooling Tower &amp; Corrugated Fill'!$C$14-(0.61094*EXP(17.625*(((C141+0.6*'Cooling Tower &amp; Corrugated Fill'!$C$12))-32)/1.8/((((C141+0.6*'Cooling Tower &amp; Corrugated Fill'!$C$12))-32)/1.8+243.04))))*(1061+0.444*((C141+0.6*'Cooling Tower &amp; Corrugated Fill'!$C$12))))-('Merkel Solver'!$C$4+'Cooling Tower &amp; Corrugated Fill'!$C$13*0.6*'Cooling Tower &amp; Corrugated Fill'!$C$12)</f>
        <v/>
      </c>
      <c r="G141" s="14">
        <f>(0.24*((C141+0.9*'Cooling Tower &amp; Corrugated Fill'!$C$12))+0.62198*(0.61094*EXP(17.625*(((C141+0.9*'Cooling Tower &amp; Corrugated Fill'!$C$12))-32)/1.8/((((C141+0.9*'Cooling Tower &amp; Corrugated Fill'!$C$12))-32)/1.8+243.04)))/('Cooling Tower &amp; Corrugated Fill'!$C$14-(0.61094*EXP(17.625*(((C141+0.9*'Cooling Tower &amp; Corrugated Fill'!$C$12))-32)/1.8/((((C141+0.9*'Cooling Tower &amp; Corrugated Fill'!$C$12))-32)/1.8+243.04))))*(1061+0.444*((C141+0.9*'Cooling Tower &amp; Corrugated Fill'!$C$12))))-('Merkel Solver'!$C$4+'Cooling Tower &amp; Corrugated Fill'!$C$13*0.9*'Cooling Tower &amp; Corrugated Fill'!$C$12)</f>
        <v/>
      </c>
      <c r="H141" s="22">
        <f>IF(MIN(D141:G141)&lt;=0,99999,'Cooling Tower &amp; Corrugated Fill'!$C$12/4*(1/D141+1/E141+1/F141+1/G141))</f>
        <v/>
      </c>
    </row>
    <row r="142">
      <c r="B142" s="30" t="n">
        <v>13.6</v>
      </c>
      <c r="C142" s="12">
        <f>'Dashboard'!$C$9+B142</f>
        <v/>
      </c>
      <c r="D142" s="14">
        <f>(0.24*((C142+0.1*'Cooling Tower &amp; Corrugated Fill'!$C$12))+0.62198*(0.61094*EXP(17.625*(((C142+0.1*'Cooling Tower &amp; Corrugated Fill'!$C$12))-32)/1.8/((((C142+0.1*'Cooling Tower &amp; Corrugated Fill'!$C$12))-32)/1.8+243.04)))/('Cooling Tower &amp; Corrugated Fill'!$C$14-(0.61094*EXP(17.625*(((C142+0.1*'Cooling Tower &amp; Corrugated Fill'!$C$12))-32)/1.8/((((C142+0.1*'Cooling Tower &amp; Corrugated Fill'!$C$12))-32)/1.8+243.04))))*(1061+0.444*((C142+0.1*'Cooling Tower &amp; Corrugated Fill'!$C$12))))-('Merkel Solver'!$C$4+'Cooling Tower &amp; Corrugated Fill'!$C$13*0.1*'Cooling Tower &amp; Corrugated Fill'!$C$12)</f>
        <v/>
      </c>
      <c r="E142" s="14">
        <f>(0.24*((C142+0.4*'Cooling Tower &amp; Corrugated Fill'!$C$12))+0.62198*(0.61094*EXP(17.625*(((C142+0.4*'Cooling Tower &amp; Corrugated Fill'!$C$12))-32)/1.8/((((C142+0.4*'Cooling Tower &amp; Corrugated Fill'!$C$12))-32)/1.8+243.04)))/('Cooling Tower &amp; Corrugated Fill'!$C$14-(0.61094*EXP(17.625*(((C142+0.4*'Cooling Tower &amp; Corrugated Fill'!$C$12))-32)/1.8/((((C142+0.4*'Cooling Tower &amp; Corrugated Fill'!$C$12))-32)/1.8+243.04))))*(1061+0.444*((C142+0.4*'Cooling Tower &amp; Corrugated Fill'!$C$12))))-('Merkel Solver'!$C$4+'Cooling Tower &amp; Corrugated Fill'!$C$13*0.4*'Cooling Tower &amp; Corrugated Fill'!$C$12)</f>
        <v/>
      </c>
      <c r="F142" s="14">
        <f>(0.24*((C142+0.6*'Cooling Tower &amp; Corrugated Fill'!$C$12))+0.62198*(0.61094*EXP(17.625*(((C142+0.6*'Cooling Tower &amp; Corrugated Fill'!$C$12))-32)/1.8/((((C142+0.6*'Cooling Tower &amp; Corrugated Fill'!$C$12))-32)/1.8+243.04)))/('Cooling Tower &amp; Corrugated Fill'!$C$14-(0.61094*EXP(17.625*(((C142+0.6*'Cooling Tower &amp; Corrugated Fill'!$C$12))-32)/1.8/((((C142+0.6*'Cooling Tower &amp; Corrugated Fill'!$C$12))-32)/1.8+243.04))))*(1061+0.444*((C142+0.6*'Cooling Tower &amp; Corrugated Fill'!$C$12))))-('Merkel Solver'!$C$4+'Cooling Tower &amp; Corrugated Fill'!$C$13*0.6*'Cooling Tower &amp; Corrugated Fill'!$C$12)</f>
        <v/>
      </c>
      <c r="G142" s="14">
        <f>(0.24*((C142+0.9*'Cooling Tower &amp; Corrugated Fill'!$C$12))+0.62198*(0.61094*EXP(17.625*(((C142+0.9*'Cooling Tower &amp; Corrugated Fill'!$C$12))-32)/1.8/((((C142+0.9*'Cooling Tower &amp; Corrugated Fill'!$C$12))-32)/1.8+243.04)))/('Cooling Tower &amp; Corrugated Fill'!$C$14-(0.61094*EXP(17.625*(((C142+0.9*'Cooling Tower &amp; Corrugated Fill'!$C$12))-32)/1.8/((((C142+0.9*'Cooling Tower &amp; Corrugated Fill'!$C$12))-32)/1.8+243.04))))*(1061+0.444*((C142+0.9*'Cooling Tower &amp; Corrugated Fill'!$C$12))))-('Merkel Solver'!$C$4+'Cooling Tower &amp; Corrugated Fill'!$C$13*0.9*'Cooling Tower &amp; Corrugated Fill'!$C$12)</f>
        <v/>
      </c>
      <c r="H142" s="22">
        <f>IF(MIN(D142:G142)&lt;=0,99999,'Cooling Tower &amp; Corrugated Fill'!$C$12/4*(1/D142+1/E142+1/F142+1/G142))</f>
        <v/>
      </c>
    </row>
    <row r="143">
      <c r="B143" s="30" t="n">
        <v>13.7</v>
      </c>
      <c r="C143" s="12">
        <f>'Dashboard'!$C$9+B143</f>
        <v/>
      </c>
      <c r="D143" s="14">
        <f>(0.24*((C143+0.1*'Cooling Tower &amp; Corrugated Fill'!$C$12))+0.62198*(0.61094*EXP(17.625*(((C143+0.1*'Cooling Tower &amp; Corrugated Fill'!$C$12))-32)/1.8/((((C143+0.1*'Cooling Tower &amp; Corrugated Fill'!$C$12))-32)/1.8+243.04)))/('Cooling Tower &amp; Corrugated Fill'!$C$14-(0.61094*EXP(17.625*(((C143+0.1*'Cooling Tower &amp; Corrugated Fill'!$C$12))-32)/1.8/((((C143+0.1*'Cooling Tower &amp; Corrugated Fill'!$C$12))-32)/1.8+243.04))))*(1061+0.444*((C143+0.1*'Cooling Tower &amp; Corrugated Fill'!$C$12))))-('Merkel Solver'!$C$4+'Cooling Tower &amp; Corrugated Fill'!$C$13*0.1*'Cooling Tower &amp; Corrugated Fill'!$C$12)</f>
        <v/>
      </c>
      <c r="E143" s="14">
        <f>(0.24*((C143+0.4*'Cooling Tower &amp; Corrugated Fill'!$C$12))+0.62198*(0.61094*EXP(17.625*(((C143+0.4*'Cooling Tower &amp; Corrugated Fill'!$C$12))-32)/1.8/((((C143+0.4*'Cooling Tower &amp; Corrugated Fill'!$C$12))-32)/1.8+243.04)))/('Cooling Tower &amp; Corrugated Fill'!$C$14-(0.61094*EXP(17.625*(((C143+0.4*'Cooling Tower &amp; Corrugated Fill'!$C$12))-32)/1.8/((((C143+0.4*'Cooling Tower &amp; Corrugated Fill'!$C$12))-32)/1.8+243.04))))*(1061+0.444*((C143+0.4*'Cooling Tower &amp; Corrugated Fill'!$C$12))))-('Merkel Solver'!$C$4+'Cooling Tower &amp; Corrugated Fill'!$C$13*0.4*'Cooling Tower &amp; Corrugated Fill'!$C$12)</f>
        <v/>
      </c>
      <c r="F143" s="14">
        <f>(0.24*((C143+0.6*'Cooling Tower &amp; Corrugated Fill'!$C$12))+0.62198*(0.61094*EXP(17.625*(((C143+0.6*'Cooling Tower &amp; Corrugated Fill'!$C$12))-32)/1.8/((((C143+0.6*'Cooling Tower &amp; Corrugated Fill'!$C$12))-32)/1.8+243.04)))/('Cooling Tower &amp; Corrugated Fill'!$C$14-(0.61094*EXP(17.625*(((C143+0.6*'Cooling Tower &amp; Corrugated Fill'!$C$12))-32)/1.8/((((C143+0.6*'Cooling Tower &amp; Corrugated Fill'!$C$12))-32)/1.8+243.04))))*(1061+0.444*((C143+0.6*'Cooling Tower &amp; Corrugated Fill'!$C$12))))-('Merkel Solver'!$C$4+'Cooling Tower &amp; Corrugated Fill'!$C$13*0.6*'Cooling Tower &amp; Corrugated Fill'!$C$12)</f>
        <v/>
      </c>
      <c r="G143" s="14">
        <f>(0.24*((C143+0.9*'Cooling Tower &amp; Corrugated Fill'!$C$12))+0.62198*(0.61094*EXP(17.625*(((C143+0.9*'Cooling Tower &amp; Corrugated Fill'!$C$12))-32)/1.8/((((C143+0.9*'Cooling Tower &amp; Corrugated Fill'!$C$12))-32)/1.8+243.04)))/('Cooling Tower &amp; Corrugated Fill'!$C$14-(0.61094*EXP(17.625*(((C143+0.9*'Cooling Tower &amp; Corrugated Fill'!$C$12))-32)/1.8/((((C143+0.9*'Cooling Tower &amp; Corrugated Fill'!$C$12))-32)/1.8+243.04))))*(1061+0.444*((C143+0.9*'Cooling Tower &amp; Corrugated Fill'!$C$12))))-('Merkel Solver'!$C$4+'Cooling Tower &amp; Corrugated Fill'!$C$13*0.9*'Cooling Tower &amp; Corrugated Fill'!$C$12)</f>
        <v/>
      </c>
      <c r="H143" s="22">
        <f>IF(MIN(D143:G143)&lt;=0,99999,'Cooling Tower &amp; Corrugated Fill'!$C$12/4*(1/D143+1/E143+1/F143+1/G143))</f>
        <v/>
      </c>
    </row>
    <row r="144">
      <c r="B144" s="30" t="n">
        <v>13.8</v>
      </c>
      <c r="C144" s="12">
        <f>'Dashboard'!$C$9+B144</f>
        <v/>
      </c>
      <c r="D144" s="14">
        <f>(0.24*((C144+0.1*'Cooling Tower &amp; Corrugated Fill'!$C$12))+0.62198*(0.61094*EXP(17.625*(((C144+0.1*'Cooling Tower &amp; Corrugated Fill'!$C$12))-32)/1.8/((((C144+0.1*'Cooling Tower &amp; Corrugated Fill'!$C$12))-32)/1.8+243.04)))/('Cooling Tower &amp; Corrugated Fill'!$C$14-(0.61094*EXP(17.625*(((C144+0.1*'Cooling Tower &amp; Corrugated Fill'!$C$12))-32)/1.8/((((C144+0.1*'Cooling Tower &amp; Corrugated Fill'!$C$12))-32)/1.8+243.04))))*(1061+0.444*((C144+0.1*'Cooling Tower &amp; Corrugated Fill'!$C$12))))-('Merkel Solver'!$C$4+'Cooling Tower &amp; Corrugated Fill'!$C$13*0.1*'Cooling Tower &amp; Corrugated Fill'!$C$12)</f>
        <v/>
      </c>
      <c r="E144" s="14">
        <f>(0.24*((C144+0.4*'Cooling Tower &amp; Corrugated Fill'!$C$12))+0.62198*(0.61094*EXP(17.625*(((C144+0.4*'Cooling Tower &amp; Corrugated Fill'!$C$12))-32)/1.8/((((C144+0.4*'Cooling Tower &amp; Corrugated Fill'!$C$12))-32)/1.8+243.04)))/('Cooling Tower &amp; Corrugated Fill'!$C$14-(0.61094*EXP(17.625*(((C144+0.4*'Cooling Tower &amp; Corrugated Fill'!$C$12))-32)/1.8/((((C144+0.4*'Cooling Tower &amp; Corrugated Fill'!$C$12))-32)/1.8+243.04))))*(1061+0.444*((C144+0.4*'Cooling Tower &amp; Corrugated Fill'!$C$12))))-('Merkel Solver'!$C$4+'Cooling Tower &amp; Corrugated Fill'!$C$13*0.4*'Cooling Tower &amp; Corrugated Fill'!$C$12)</f>
        <v/>
      </c>
      <c r="F144" s="14">
        <f>(0.24*((C144+0.6*'Cooling Tower &amp; Corrugated Fill'!$C$12))+0.62198*(0.61094*EXP(17.625*(((C144+0.6*'Cooling Tower &amp; Corrugated Fill'!$C$12))-32)/1.8/((((C144+0.6*'Cooling Tower &amp; Corrugated Fill'!$C$12))-32)/1.8+243.04)))/('Cooling Tower &amp; Corrugated Fill'!$C$14-(0.61094*EXP(17.625*(((C144+0.6*'Cooling Tower &amp; Corrugated Fill'!$C$12))-32)/1.8/((((C144+0.6*'Cooling Tower &amp; Corrugated Fill'!$C$12))-32)/1.8+243.04))))*(1061+0.444*((C144+0.6*'Cooling Tower &amp; Corrugated Fill'!$C$12))))-('Merkel Solver'!$C$4+'Cooling Tower &amp; Corrugated Fill'!$C$13*0.6*'Cooling Tower &amp; Corrugated Fill'!$C$12)</f>
        <v/>
      </c>
      <c r="G144" s="14">
        <f>(0.24*((C144+0.9*'Cooling Tower &amp; Corrugated Fill'!$C$12))+0.62198*(0.61094*EXP(17.625*(((C144+0.9*'Cooling Tower &amp; Corrugated Fill'!$C$12))-32)/1.8/((((C144+0.9*'Cooling Tower &amp; Corrugated Fill'!$C$12))-32)/1.8+243.04)))/('Cooling Tower &amp; Corrugated Fill'!$C$14-(0.61094*EXP(17.625*(((C144+0.9*'Cooling Tower &amp; Corrugated Fill'!$C$12))-32)/1.8/((((C144+0.9*'Cooling Tower &amp; Corrugated Fill'!$C$12))-32)/1.8+243.04))))*(1061+0.444*((C144+0.9*'Cooling Tower &amp; Corrugated Fill'!$C$12))))-('Merkel Solver'!$C$4+'Cooling Tower &amp; Corrugated Fill'!$C$13*0.9*'Cooling Tower &amp; Corrugated Fill'!$C$12)</f>
        <v/>
      </c>
      <c r="H144" s="22">
        <f>IF(MIN(D144:G144)&lt;=0,99999,'Cooling Tower &amp; Corrugated Fill'!$C$12/4*(1/D144+1/E144+1/F144+1/G144))</f>
        <v/>
      </c>
    </row>
    <row r="145">
      <c r="B145" s="30" t="n">
        <v>13.9</v>
      </c>
      <c r="C145" s="12">
        <f>'Dashboard'!$C$9+B145</f>
        <v/>
      </c>
      <c r="D145" s="14">
        <f>(0.24*((C145+0.1*'Cooling Tower &amp; Corrugated Fill'!$C$12))+0.62198*(0.61094*EXP(17.625*(((C145+0.1*'Cooling Tower &amp; Corrugated Fill'!$C$12))-32)/1.8/((((C145+0.1*'Cooling Tower &amp; Corrugated Fill'!$C$12))-32)/1.8+243.04)))/('Cooling Tower &amp; Corrugated Fill'!$C$14-(0.61094*EXP(17.625*(((C145+0.1*'Cooling Tower &amp; Corrugated Fill'!$C$12))-32)/1.8/((((C145+0.1*'Cooling Tower &amp; Corrugated Fill'!$C$12))-32)/1.8+243.04))))*(1061+0.444*((C145+0.1*'Cooling Tower &amp; Corrugated Fill'!$C$12))))-('Merkel Solver'!$C$4+'Cooling Tower &amp; Corrugated Fill'!$C$13*0.1*'Cooling Tower &amp; Corrugated Fill'!$C$12)</f>
        <v/>
      </c>
      <c r="E145" s="14">
        <f>(0.24*((C145+0.4*'Cooling Tower &amp; Corrugated Fill'!$C$12))+0.62198*(0.61094*EXP(17.625*(((C145+0.4*'Cooling Tower &amp; Corrugated Fill'!$C$12))-32)/1.8/((((C145+0.4*'Cooling Tower &amp; Corrugated Fill'!$C$12))-32)/1.8+243.04)))/('Cooling Tower &amp; Corrugated Fill'!$C$14-(0.61094*EXP(17.625*(((C145+0.4*'Cooling Tower &amp; Corrugated Fill'!$C$12))-32)/1.8/((((C145+0.4*'Cooling Tower &amp; Corrugated Fill'!$C$12))-32)/1.8+243.04))))*(1061+0.444*((C145+0.4*'Cooling Tower &amp; Corrugated Fill'!$C$12))))-('Merkel Solver'!$C$4+'Cooling Tower &amp; Corrugated Fill'!$C$13*0.4*'Cooling Tower &amp; Corrugated Fill'!$C$12)</f>
        <v/>
      </c>
      <c r="F145" s="14">
        <f>(0.24*((C145+0.6*'Cooling Tower &amp; Corrugated Fill'!$C$12))+0.62198*(0.61094*EXP(17.625*(((C145+0.6*'Cooling Tower &amp; Corrugated Fill'!$C$12))-32)/1.8/((((C145+0.6*'Cooling Tower &amp; Corrugated Fill'!$C$12))-32)/1.8+243.04)))/('Cooling Tower &amp; Corrugated Fill'!$C$14-(0.61094*EXP(17.625*(((C145+0.6*'Cooling Tower &amp; Corrugated Fill'!$C$12))-32)/1.8/((((C145+0.6*'Cooling Tower &amp; Corrugated Fill'!$C$12))-32)/1.8+243.04))))*(1061+0.444*((C145+0.6*'Cooling Tower &amp; Corrugated Fill'!$C$12))))-('Merkel Solver'!$C$4+'Cooling Tower &amp; Corrugated Fill'!$C$13*0.6*'Cooling Tower &amp; Corrugated Fill'!$C$12)</f>
        <v/>
      </c>
      <c r="G145" s="14">
        <f>(0.24*((C145+0.9*'Cooling Tower &amp; Corrugated Fill'!$C$12))+0.62198*(0.61094*EXP(17.625*(((C145+0.9*'Cooling Tower &amp; Corrugated Fill'!$C$12))-32)/1.8/((((C145+0.9*'Cooling Tower &amp; Corrugated Fill'!$C$12))-32)/1.8+243.04)))/('Cooling Tower &amp; Corrugated Fill'!$C$14-(0.61094*EXP(17.625*(((C145+0.9*'Cooling Tower &amp; Corrugated Fill'!$C$12))-32)/1.8/((((C145+0.9*'Cooling Tower &amp; Corrugated Fill'!$C$12))-32)/1.8+243.04))))*(1061+0.444*((C145+0.9*'Cooling Tower &amp; Corrugated Fill'!$C$12))))-('Merkel Solver'!$C$4+'Cooling Tower &amp; Corrugated Fill'!$C$13*0.9*'Cooling Tower &amp; Corrugated Fill'!$C$12)</f>
        <v/>
      </c>
      <c r="H145" s="22">
        <f>IF(MIN(D145:G145)&lt;=0,99999,'Cooling Tower &amp; Corrugated Fill'!$C$12/4*(1/D145+1/E145+1/F145+1/G145))</f>
        <v/>
      </c>
    </row>
    <row r="146">
      <c r="B146" s="30" t="n">
        <v>14</v>
      </c>
      <c r="C146" s="12">
        <f>'Dashboard'!$C$9+B146</f>
        <v/>
      </c>
      <c r="D146" s="14">
        <f>(0.24*((C146+0.1*'Cooling Tower &amp; Corrugated Fill'!$C$12))+0.62198*(0.61094*EXP(17.625*(((C146+0.1*'Cooling Tower &amp; Corrugated Fill'!$C$12))-32)/1.8/((((C146+0.1*'Cooling Tower &amp; Corrugated Fill'!$C$12))-32)/1.8+243.04)))/('Cooling Tower &amp; Corrugated Fill'!$C$14-(0.61094*EXP(17.625*(((C146+0.1*'Cooling Tower &amp; Corrugated Fill'!$C$12))-32)/1.8/((((C146+0.1*'Cooling Tower &amp; Corrugated Fill'!$C$12))-32)/1.8+243.04))))*(1061+0.444*((C146+0.1*'Cooling Tower &amp; Corrugated Fill'!$C$12))))-('Merkel Solver'!$C$4+'Cooling Tower &amp; Corrugated Fill'!$C$13*0.1*'Cooling Tower &amp; Corrugated Fill'!$C$12)</f>
        <v/>
      </c>
      <c r="E146" s="14">
        <f>(0.24*((C146+0.4*'Cooling Tower &amp; Corrugated Fill'!$C$12))+0.62198*(0.61094*EXP(17.625*(((C146+0.4*'Cooling Tower &amp; Corrugated Fill'!$C$12))-32)/1.8/((((C146+0.4*'Cooling Tower &amp; Corrugated Fill'!$C$12))-32)/1.8+243.04)))/('Cooling Tower &amp; Corrugated Fill'!$C$14-(0.61094*EXP(17.625*(((C146+0.4*'Cooling Tower &amp; Corrugated Fill'!$C$12))-32)/1.8/((((C146+0.4*'Cooling Tower &amp; Corrugated Fill'!$C$12))-32)/1.8+243.04))))*(1061+0.444*((C146+0.4*'Cooling Tower &amp; Corrugated Fill'!$C$12))))-('Merkel Solver'!$C$4+'Cooling Tower &amp; Corrugated Fill'!$C$13*0.4*'Cooling Tower &amp; Corrugated Fill'!$C$12)</f>
        <v/>
      </c>
      <c r="F146" s="14">
        <f>(0.24*((C146+0.6*'Cooling Tower &amp; Corrugated Fill'!$C$12))+0.62198*(0.61094*EXP(17.625*(((C146+0.6*'Cooling Tower &amp; Corrugated Fill'!$C$12))-32)/1.8/((((C146+0.6*'Cooling Tower &amp; Corrugated Fill'!$C$12))-32)/1.8+243.04)))/('Cooling Tower &amp; Corrugated Fill'!$C$14-(0.61094*EXP(17.625*(((C146+0.6*'Cooling Tower &amp; Corrugated Fill'!$C$12))-32)/1.8/((((C146+0.6*'Cooling Tower &amp; Corrugated Fill'!$C$12))-32)/1.8+243.04))))*(1061+0.444*((C146+0.6*'Cooling Tower &amp; Corrugated Fill'!$C$12))))-('Merkel Solver'!$C$4+'Cooling Tower &amp; Corrugated Fill'!$C$13*0.6*'Cooling Tower &amp; Corrugated Fill'!$C$12)</f>
        <v/>
      </c>
      <c r="G146" s="14">
        <f>(0.24*((C146+0.9*'Cooling Tower &amp; Corrugated Fill'!$C$12))+0.62198*(0.61094*EXP(17.625*(((C146+0.9*'Cooling Tower &amp; Corrugated Fill'!$C$12))-32)/1.8/((((C146+0.9*'Cooling Tower &amp; Corrugated Fill'!$C$12))-32)/1.8+243.04)))/('Cooling Tower &amp; Corrugated Fill'!$C$14-(0.61094*EXP(17.625*(((C146+0.9*'Cooling Tower &amp; Corrugated Fill'!$C$12))-32)/1.8/((((C146+0.9*'Cooling Tower &amp; Corrugated Fill'!$C$12))-32)/1.8+243.04))))*(1061+0.444*((C146+0.9*'Cooling Tower &amp; Corrugated Fill'!$C$12))))-('Merkel Solver'!$C$4+'Cooling Tower &amp; Corrugated Fill'!$C$13*0.9*'Cooling Tower &amp; Corrugated Fill'!$C$12)</f>
        <v/>
      </c>
      <c r="H146" s="22">
        <f>IF(MIN(D146:G146)&lt;=0,99999,'Cooling Tower &amp; Corrugated Fill'!$C$12/4*(1/D146+1/E146+1/F146+1/G146))</f>
        <v/>
      </c>
    </row>
    <row r="147">
      <c r="B147" s="30" t="n">
        <v>14.1</v>
      </c>
      <c r="C147" s="12">
        <f>'Dashboard'!$C$9+B147</f>
        <v/>
      </c>
      <c r="D147" s="14">
        <f>(0.24*((C147+0.1*'Cooling Tower &amp; Corrugated Fill'!$C$12))+0.62198*(0.61094*EXP(17.625*(((C147+0.1*'Cooling Tower &amp; Corrugated Fill'!$C$12))-32)/1.8/((((C147+0.1*'Cooling Tower &amp; Corrugated Fill'!$C$12))-32)/1.8+243.04)))/('Cooling Tower &amp; Corrugated Fill'!$C$14-(0.61094*EXP(17.625*(((C147+0.1*'Cooling Tower &amp; Corrugated Fill'!$C$12))-32)/1.8/((((C147+0.1*'Cooling Tower &amp; Corrugated Fill'!$C$12))-32)/1.8+243.04))))*(1061+0.444*((C147+0.1*'Cooling Tower &amp; Corrugated Fill'!$C$12))))-('Merkel Solver'!$C$4+'Cooling Tower &amp; Corrugated Fill'!$C$13*0.1*'Cooling Tower &amp; Corrugated Fill'!$C$12)</f>
        <v/>
      </c>
      <c r="E147" s="14">
        <f>(0.24*((C147+0.4*'Cooling Tower &amp; Corrugated Fill'!$C$12))+0.62198*(0.61094*EXP(17.625*(((C147+0.4*'Cooling Tower &amp; Corrugated Fill'!$C$12))-32)/1.8/((((C147+0.4*'Cooling Tower &amp; Corrugated Fill'!$C$12))-32)/1.8+243.04)))/('Cooling Tower &amp; Corrugated Fill'!$C$14-(0.61094*EXP(17.625*(((C147+0.4*'Cooling Tower &amp; Corrugated Fill'!$C$12))-32)/1.8/((((C147+0.4*'Cooling Tower &amp; Corrugated Fill'!$C$12))-32)/1.8+243.04))))*(1061+0.444*((C147+0.4*'Cooling Tower &amp; Corrugated Fill'!$C$12))))-('Merkel Solver'!$C$4+'Cooling Tower &amp; Corrugated Fill'!$C$13*0.4*'Cooling Tower &amp; Corrugated Fill'!$C$12)</f>
        <v/>
      </c>
      <c r="F147" s="14">
        <f>(0.24*((C147+0.6*'Cooling Tower &amp; Corrugated Fill'!$C$12))+0.62198*(0.61094*EXP(17.625*(((C147+0.6*'Cooling Tower &amp; Corrugated Fill'!$C$12))-32)/1.8/((((C147+0.6*'Cooling Tower &amp; Corrugated Fill'!$C$12))-32)/1.8+243.04)))/('Cooling Tower &amp; Corrugated Fill'!$C$14-(0.61094*EXP(17.625*(((C147+0.6*'Cooling Tower &amp; Corrugated Fill'!$C$12))-32)/1.8/((((C147+0.6*'Cooling Tower &amp; Corrugated Fill'!$C$12))-32)/1.8+243.04))))*(1061+0.444*((C147+0.6*'Cooling Tower &amp; Corrugated Fill'!$C$12))))-('Merkel Solver'!$C$4+'Cooling Tower &amp; Corrugated Fill'!$C$13*0.6*'Cooling Tower &amp; Corrugated Fill'!$C$12)</f>
        <v/>
      </c>
      <c r="G147" s="14">
        <f>(0.24*((C147+0.9*'Cooling Tower &amp; Corrugated Fill'!$C$12))+0.62198*(0.61094*EXP(17.625*(((C147+0.9*'Cooling Tower &amp; Corrugated Fill'!$C$12))-32)/1.8/((((C147+0.9*'Cooling Tower &amp; Corrugated Fill'!$C$12))-32)/1.8+243.04)))/('Cooling Tower &amp; Corrugated Fill'!$C$14-(0.61094*EXP(17.625*(((C147+0.9*'Cooling Tower &amp; Corrugated Fill'!$C$12))-32)/1.8/((((C147+0.9*'Cooling Tower &amp; Corrugated Fill'!$C$12))-32)/1.8+243.04))))*(1061+0.444*((C147+0.9*'Cooling Tower &amp; Corrugated Fill'!$C$12))))-('Merkel Solver'!$C$4+'Cooling Tower &amp; Corrugated Fill'!$C$13*0.9*'Cooling Tower &amp; Corrugated Fill'!$C$12)</f>
        <v/>
      </c>
      <c r="H147" s="22">
        <f>IF(MIN(D147:G147)&lt;=0,99999,'Cooling Tower &amp; Corrugated Fill'!$C$12/4*(1/D147+1/E147+1/F147+1/G147))</f>
        <v/>
      </c>
    </row>
    <row r="148">
      <c r="B148" s="30" t="n">
        <v>14.2</v>
      </c>
      <c r="C148" s="12">
        <f>'Dashboard'!$C$9+B148</f>
        <v/>
      </c>
      <c r="D148" s="14">
        <f>(0.24*((C148+0.1*'Cooling Tower &amp; Corrugated Fill'!$C$12))+0.62198*(0.61094*EXP(17.625*(((C148+0.1*'Cooling Tower &amp; Corrugated Fill'!$C$12))-32)/1.8/((((C148+0.1*'Cooling Tower &amp; Corrugated Fill'!$C$12))-32)/1.8+243.04)))/('Cooling Tower &amp; Corrugated Fill'!$C$14-(0.61094*EXP(17.625*(((C148+0.1*'Cooling Tower &amp; Corrugated Fill'!$C$12))-32)/1.8/((((C148+0.1*'Cooling Tower &amp; Corrugated Fill'!$C$12))-32)/1.8+243.04))))*(1061+0.444*((C148+0.1*'Cooling Tower &amp; Corrugated Fill'!$C$12))))-('Merkel Solver'!$C$4+'Cooling Tower &amp; Corrugated Fill'!$C$13*0.1*'Cooling Tower &amp; Corrugated Fill'!$C$12)</f>
        <v/>
      </c>
      <c r="E148" s="14">
        <f>(0.24*((C148+0.4*'Cooling Tower &amp; Corrugated Fill'!$C$12))+0.62198*(0.61094*EXP(17.625*(((C148+0.4*'Cooling Tower &amp; Corrugated Fill'!$C$12))-32)/1.8/((((C148+0.4*'Cooling Tower &amp; Corrugated Fill'!$C$12))-32)/1.8+243.04)))/('Cooling Tower &amp; Corrugated Fill'!$C$14-(0.61094*EXP(17.625*(((C148+0.4*'Cooling Tower &amp; Corrugated Fill'!$C$12))-32)/1.8/((((C148+0.4*'Cooling Tower &amp; Corrugated Fill'!$C$12))-32)/1.8+243.04))))*(1061+0.444*((C148+0.4*'Cooling Tower &amp; Corrugated Fill'!$C$12))))-('Merkel Solver'!$C$4+'Cooling Tower &amp; Corrugated Fill'!$C$13*0.4*'Cooling Tower &amp; Corrugated Fill'!$C$12)</f>
        <v/>
      </c>
      <c r="F148" s="14">
        <f>(0.24*((C148+0.6*'Cooling Tower &amp; Corrugated Fill'!$C$12))+0.62198*(0.61094*EXP(17.625*(((C148+0.6*'Cooling Tower &amp; Corrugated Fill'!$C$12))-32)/1.8/((((C148+0.6*'Cooling Tower &amp; Corrugated Fill'!$C$12))-32)/1.8+243.04)))/('Cooling Tower &amp; Corrugated Fill'!$C$14-(0.61094*EXP(17.625*(((C148+0.6*'Cooling Tower &amp; Corrugated Fill'!$C$12))-32)/1.8/((((C148+0.6*'Cooling Tower &amp; Corrugated Fill'!$C$12))-32)/1.8+243.04))))*(1061+0.444*((C148+0.6*'Cooling Tower &amp; Corrugated Fill'!$C$12))))-('Merkel Solver'!$C$4+'Cooling Tower &amp; Corrugated Fill'!$C$13*0.6*'Cooling Tower &amp; Corrugated Fill'!$C$12)</f>
        <v/>
      </c>
      <c r="G148" s="14">
        <f>(0.24*((C148+0.9*'Cooling Tower &amp; Corrugated Fill'!$C$12))+0.62198*(0.61094*EXP(17.625*(((C148+0.9*'Cooling Tower &amp; Corrugated Fill'!$C$12))-32)/1.8/((((C148+0.9*'Cooling Tower &amp; Corrugated Fill'!$C$12))-32)/1.8+243.04)))/('Cooling Tower &amp; Corrugated Fill'!$C$14-(0.61094*EXP(17.625*(((C148+0.9*'Cooling Tower &amp; Corrugated Fill'!$C$12))-32)/1.8/((((C148+0.9*'Cooling Tower &amp; Corrugated Fill'!$C$12))-32)/1.8+243.04))))*(1061+0.444*((C148+0.9*'Cooling Tower &amp; Corrugated Fill'!$C$12))))-('Merkel Solver'!$C$4+'Cooling Tower &amp; Corrugated Fill'!$C$13*0.9*'Cooling Tower &amp; Corrugated Fill'!$C$12)</f>
        <v/>
      </c>
      <c r="H148" s="22">
        <f>IF(MIN(D148:G148)&lt;=0,99999,'Cooling Tower &amp; Corrugated Fill'!$C$12/4*(1/D148+1/E148+1/F148+1/G148))</f>
        <v/>
      </c>
    </row>
    <row r="149">
      <c r="B149" s="30" t="n">
        <v>14.3</v>
      </c>
      <c r="C149" s="12">
        <f>'Dashboard'!$C$9+B149</f>
        <v/>
      </c>
      <c r="D149" s="14">
        <f>(0.24*((C149+0.1*'Cooling Tower &amp; Corrugated Fill'!$C$12))+0.62198*(0.61094*EXP(17.625*(((C149+0.1*'Cooling Tower &amp; Corrugated Fill'!$C$12))-32)/1.8/((((C149+0.1*'Cooling Tower &amp; Corrugated Fill'!$C$12))-32)/1.8+243.04)))/('Cooling Tower &amp; Corrugated Fill'!$C$14-(0.61094*EXP(17.625*(((C149+0.1*'Cooling Tower &amp; Corrugated Fill'!$C$12))-32)/1.8/((((C149+0.1*'Cooling Tower &amp; Corrugated Fill'!$C$12))-32)/1.8+243.04))))*(1061+0.444*((C149+0.1*'Cooling Tower &amp; Corrugated Fill'!$C$12))))-('Merkel Solver'!$C$4+'Cooling Tower &amp; Corrugated Fill'!$C$13*0.1*'Cooling Tower &amp; Corrugated Fill'!$C$12)</f>
        <v/>
      </c>
      <c r="E149" s="14">
        <f>(0.24*((C149+0.4*'Cooling Tower &amp; Corrugated Fill'!$C$12))+0.62198*(0.61094*EXP(17.625*(((C149+0.4*'Cooling Tower &amp; Corrugated Fill'!$C$12))-32)/1.8/((((C149+0.4*'Cooling Tower &amp; Corrugated Fill'!$C$12))-32)/1.8+243.04)))/('Cooling Tower &amp; Corrugated Fill'!$C$14-(0.61094*EXP(17.625*(((C149+0.4*'Cooling Tower &amp; Corrugated Fill'!$C$12))-32)/1.8/((((C149+0.4*'Cooling Tower &amp; Corrugated Fill'!$C$12))-32)/1.8+243.04))))*(1061+0.444*((C149+0.4*'Cooling Tower &amp; Corrugated Fill'!$C$12))))-('Merkel Solver'!$C$4+'Cooling Tower &amp; Corrugated Fill'!$C$13*0.4*'Cooling Tower &amp; Corrugated Fill'!$C$12)</f>
        <v/>
      </c>
      <c r="F149" s="14">
        <f>(0.24*((C149+0.6*'Cooling Tower &amp; Corrugated Fill'!$C$12))+0.62198*(0.61094*EXP(17.625*(((C149+0.6*'Cooling Tower &amp; Corrugated Fill'!$C$12))-32)/1.8/((((C149+0.6*'Cooling Tower &amp; Corrugated Fill'!$C$12))-32)/1.8+243.04)))/('Cooling Tower &amp; Corrugated Fill'!$C$14-(0.61094*EXP(17.625*(((C149+0.6*'Cooling Tower &amp; Corrugated Fill'!$C$12))-32)/1.8/((((C149+0.6*'Cooling Tower &amp; Corrugated Fill'!$C$12))-32)/1.8+243.04))))*(1061+0.444*((C149+0.6*'Cooling Tower &amp; Corrugated Fill'!$C$12))))-('Merkel Solver'!$C$4+'Cooling Tower &amp; Corrugated Fill'!$C$13*0.6*'Cooling Tower &amp; Corrugated Fill'!$C$12)</f>
        <v/>
      </c>
      <c r="G149" s="14">
        <f>(0.24*((C149+0.9*'Cooling Tower &amp; Corrugated Fill'!$C$12))+0.62198*(0.61094*EXP(17.625*(((C149+0.9*'Cooling Tower &amp; Corrugated Fill'!$C$12))-32)/1.8/((((C149+0.9*'Cooling Tower &amp; Corrugated Fill'!$C$12))-32)/1.8+243.04)))/('Cooling Tower &amp; Corrugated Fill'!$C$14-(0.61094*EXP(17.625*(((C149+0.9*'Cooling Tower &amp; Corrugated Fill'!$C$12))-32)/1.8/((((C149+0.9*'Cooling Tower &amp; Corrugated Fill'!$C$12))-32)/1.8+243.04))))*(1061+0.444*((C149+0.9*'Cooling Tower &amp; Corrugated Fill'!$C$12))))-('Merkel Solver'!$C$4+'Cooling Tower &amp; Corrugated Fill'!$C$13*0.9*'Cooling Tower &amp; Corrugated Fill'!$C$12)</f>
        <v/>
      </c>
      <c r="H149" s="22">
        <f>IF(MIN(D149:G149)&lt;=0,99999,'Cooling Tower &amp; Corrugated Fill'!$C$12/4*(1/D149+1/E149+1/F149+1/G149))</f>
        <v/>
      </c>
    </row>
    <row r="150">
      <c r="B150" s="30" t="n">
        <v>14.4</v>
      </c>
      <c r="C150" s="12">
        <f>'Dashboard'!$C$9+B150</f>
        <v/>
      </c>
      <c r="D150" s="14">
        <f>(0.24*((C150+0.1*'Cooling Tower &amp; Corrugated Fill'!$C$12))+0.62198*(0.61094*EXP(17.625*(((C150+0.1*'Cooling Tower &amp; Corrugated Fill'!$C$12))-32)/1.8/((((C150+0.1*'Cooling Tower &amp; Corrugated Fill'!$C$12))-32)/1.8+243.04)))/('Cooling Tower &amp; Corrugated Fill'!$C$14-(0.61094*EXP(17.625*(((C150+0.1*'Cooling Tower &amp; Corrugated Fill'!$C$12))-32)/1.8/((((C150+0.1*'Cooling Tower &amp; Corrugated Fill'!$C$12))-32)/1.8+243.04))))*(1061+0.444*((C150+0.1*'Cooling Tower &amp; Corrugated Fill'!$C$12))))-('Merkel Solver'!$C$4+'Cooling Tower &amp; Corrugated Fill'!$C$13*0.1*'Cooling Tower &amp; Corrugated Fill'!$C$12)</f>
        <v/>
      </c>
      <c r="E150" s="14">
        <f>(0.24*((C150+0.4*'Cooling Tower &amp; Corrugated Fill'!$C$12))+0.62198*(0.61094*EXP(17.625*(((C150+0.4*'Cooling Tower &amp; Corrugated Fill'!$C$12))-32)/1.8/((((C150+0.4*'Cooling Tower &amp; Corrugated Fill'!$C$12))-32)/1.8+243.04)))/('Cooling Tower &amp; Corrugated Fill'!$C$14-(0.61094*EXP(17.625*(((C150+0.4*'Cooling Tower &amp; Corrugated Fill'!$C$12))-32)/1.8/((((C150+0.4*'Cooling Tower &amp; Corrugated Fill'!$C$12))-32)/1.8+243.04))))*(1061+0.444*((C150+0.4*'Cooling Tower &amp; Corrugated Fill'!$C$12))))-('Merkel Solver'!$C$4+'Cooling Tower &amp; Corrugated Fill'!$C$13*0.4*'Cooling Tower &amp; Corrugated Fill'!$C$12)</f>
        <v/>
      </c>
      <c r="F150" s="14">
        <f>(0.24*((C150+0.6*'Cooling Tower &amp; Corrugated Fill'!$C$12))+0.62198*(0.61094*EXP(17.625*(((C150+0.6*'Cooling Tower &amp; Corrugated Fill'!$C$12))-32)/1.8/((((C150+0.6*'Cooling Tower &amp; Corrugated Fill'!$C$12))-32)/1.8+243.04)))/('Cooling Tower &amp; Corrugated Fill'!$C$14-(0.61094*EXP(17.625*(((C150+0.6*'Cooling Tower &amp; Corrugated Fill'!$C$12))-32)/1.8/((((C150+0.6*'Cooling Tower &amp; Corrugated Fill'!$C$12))-32)/1.8+243.04))))*(1061+0.444*((C150+0.6*'Cooling Tower &amp; Corrugated Fill'!$C$12))))-('Merkel Solver'!$C$4+'Cooling Tower &amp; Corrugated Fill'!$C$13*0.6*'Cooling Tower &amp; Corrugated Fill'!$C$12)</f>
        <v/>
      </c>
      <c r="G150" s="14">
        <f>(0.24*((C150+0.9*'Cooling Tower &amp; Corrugated Fill'!$C$12))+0.62198*(0.61094*EXP(17.625*(((C150+0.9*'Cooling Tower &amp; Corrugated Fill'!$C$12))-32)/1.8/((((C150+0.9*'Cooling Tower &amp; Corrugated Fill'!$C$12))-32)/1.8+243.04)))/('Cooling Tower &amp; Corrugated Fill'!$C$14-(0.61094*EXP(17.625*(((C150+0.9*'Cooling Tower &amp; Corrugated Fill'!$C$12))-32)/1.8/((((C150+0.9*'Cooling Tower &amp; Corrugated Fill'!$C$12))-32)/1.8+243.04))))*(1061+0.444*((C150+0.9*'Cooling Tower &amp; Corrugated Fill'!$C$12))))-('Merkel Solver'!$C$4+'Cooling Tower &amp; Corrugated Fill'!$C$13*0.9*'Cooling Tower &amp; Corrugated Fill'!$C$12)</f>
        <v/>
      </c>
      <c r="H150" s="22">
        <f>IF(MIN(D150:G150)&lt;=0,99999,'Cooling Tower &amp; Corrugated Fill'!$C$12/4*(1/D150+1/E150+1/F150+1/G150))</f>
        <v/>
      </c>
    </row>
    <row r="151">
      <c r="B151" s="30" t="n">
        <v>14.5</v>
      </c>
      <c r="C151" s="12">
        <f>'Dashboard'!$C$9+B151</f>
        <v/>
      </c>
      <c r="D151" s="14">
        <f>(0.24*((C151+0.1*'Cooling Tower &amp; Corrugated Fill'!$C$12))+0.62198*(0.61094*EXP(17.625*(((C151+0.1*'Cooling Tower &amp; Corrugated Fill'!$C$12))-32)/1.8/((((C151+0.1*'Cooling Tower &amp; Corrugated Fill'!$C$12))-32)/1.8+243.04)))/('Cooling Tower &amp; Corrugated Fill'!$C$14-(0.61094*EXP(17.625*(((C151+0.1*'Cooling Tower &amp; Corrugated Fill'!$C$12))-32)/1.8/((((C151+0.1*'Cooling Tower &amp; Corrugated Fill'!$C$12))-32)/1.8+243.04))))*(1061+0.444*((C151+0.1*'Cooling Tower &amp; Corrugated Fill'!$C$12))))-('Merkel Solver'!$C$4+'Cooling Tower &amp; Corrugated Fill'!$C$13*0.1*'Cooling Tower &amp; Corrugated Fill'!$C$12)</f>
        <v/>
      </c>
      <c r="E151" s="14">
        <f>(0.24*((C151+0.4*'Cooling Tower &amp; Corrugated Fill'!$C$12))+0.62198*(0.61094*EXP(17.625*(((C151+0.4*'Cooling Tower &amp; Corrugated Fill'!$C$12))-32)/1.8/((((C151+0.4*'Cooling Tower &amp; Corrugated Fill'!$C$12))-32)/1.8+243.04)))/('Cooling Tower &amp; Corrugated Fill'!$C$14-(0.61094*EXP(17.625*(((C151+0.4*'Cooling Tower &amp; Corrugated Fill'!$C$12))-32)/1.8/((((C151+0.4*'Cooling Tower &amp; Corrugated Fill'!$C$12))-32)/1.8+243.04))))*(1061+0.444*((C151+0.4*'Cooling Tower &amp; Corrugated Fill'!$C$12))))-('Merkel Solver'!$C$4+'Cooling Tower &amp; Corrugated Fill'!$C$13*0.4*'Cooling Tower &amp; Corrugated Fill'!$C$12)</f>
        <v/>
      </c>
      <c r="F151" s="14">
        <f>(0.24*((C151+0.6*'Cooling Tower &amp; Corrugated Fill'!$C$12))+0.62198*(0.61094*EXP(17.625*(((C151+0.6*'Cooling Tower &amp; Corrugated Fill'!$C$12))-32)/1.8/((((C151+0.6*'Cooling Tower &amp; Corrugated Fill'!$C$12))-32)/1.8+243.04)))/('Cooling Tower &amp; Corrugated Fill'!$C$14-(0.61094*EXP(17.625*(((C151+0.6*'Cooling Tower &amp; Corrugated Fill'!$C$12))-32)/1.8/((((C151+0.6*'Cooling Tower &amp; Corrugated Fill'!$C$12))-32)/1.8+243.04))))*(1061+0.444*((C151+0.6*'Cooling Tower &amp; Corrugated Fill'!$C$12))))-('Merkel Solver'!$C$4+'Cooling Tower &amp; Corrugated Fill'!$C$13*0.6*'Cooling Tower &amp; Corrugated Fill'!$C$12)</f>
        <v/>
      </c>
      <c r="G151" s="14">
        <f>(0.24*((C151+0.9*'Cooling Tower &amp; Corrugated Fill'!$C$12))+0.62198*(0.61094*EXP(17.625*(((C151+0.9*'Cooling Tower &amp; Corrugated Fill'!$C$12))-32)/1.8/((((C151+0.9*'Cooling Tower &amp; Corrugated Fill'!$C$12))-32)/1.8+243.04)))/('Cooling Tower &amp; Corrugated Fill'!$C$14-(0.61094*EXP(17.625*(((C151+0.9*'Cooling Tower &amp; Corrugated Fill'!$C$12))-32)/1.8/((((C151+0.9*'Cooling Tower &amp; Corrugated Fill'!$C$12))-32)/1.8+243.04))))*(1061+0.444*((C151+0.9*'Cooling Tower &amp; Corrugated Fill'!$C$12))))-('Merkel Solver'!$C$4+'Cooling Tower &amp; Corrugated Fill'!$C$13*0.9*'Cooling Tower &amp; Corrugated Fill'!$C$12)</f>
        <v/>
      </c>
      <c r="H151" s="22">
        <f>IF(MIN(D151:G151)&lt;=0,99999,'Cooling Tower &amp; Corrugated Fill'!$C$12/4*(1/D151+1/E151+1/F151+1/G151))</f>
        <v/>
      </c>
    </row>
    <row r="152">
      <c r="B152" s="30" t="n">
        <v>14.6</v>
      </c>
      <c r="C152" s="12">
        <f>'Dashboard'!$C$9+B152</f>
        <v/>
      </c>
      <c r="D152" s="14">
        <f>(0.24*((C152+0.1*'Cooling Tower &amp; Corrugated Fill'!$C$12))+0.62198*(0.61094*EXP(17.625*(((C152+0.1*'Cooling Tower &amp; Corrugated Fill'!$C$12))-32)/1.8/((((C152+0.1*'Cooling Tower &amp; Corrugated Fill'!$C$12))-32)/1.8+243.04)))/('Cooling Tower &amp; Corrugated Fill'!$C$14-(0.61094*EXP(17.625*(((C152+0.1*'Cooling Tower &amp; Corrugated Fill'!$C$12))-32)/1.8/((((C152+0.1*'Cooling Tower &amp; Corrugated Fill'!$C$12))-32)/1.8+243.04))))*(1061+0.444*((C152+0.1*'Cooling Tower &amp; Corrugated Fill'!$C$12))))-('Merkel Solver'!$C$4+'Cooling Tower &amp; Corrugated Fill'!$C$13*0.1*'Cooling Tower &amp; Corrugated Fill'!$C$12)</f>
        <v/>
      </c>
      <c r="E152" s="14">
        <f>(0.24*((C152+0.4*'Cooling Tower &amp; Corrugated Fill'!$C$12))+0.62198*(0.61094*EXP(17.625*(((C152+0.4*'Cooling Tower &amp; Corrugated Fill'!$C$12))-32)/1.8/((((C152+0.4*'Cooling Tower &amp; Corrugated Fill'!$C$12))-32)/1.8+243.04)))/('Cooling Tower &amp; Corrugated Fill'!$C$14-(0.61094*EXP(17.625*(((C152+0.4*'Cooling Tower &amp; Corrugated Fill'!$C$12))-32)/1.8/((((C152+0.4*'Cooling Tower &amp; Corrugated Fill'!$C$12))-32)/1.8+243.04))))*(1061+0.444*((C152+0.4*'Cooling Tower &amp; Corrugated Fill'!$C$12))))-('Merkel Solver'!$C$4+'Cooling Tower &amp; Corrugated Fill'!$C$13*0.4*'Cooling Tower &amp; Corrugated Fill'!$C$12)</f>
        <v/>
      </c>
      <c r="F152" s="14">
        <f>(0.24*((C152+0.6*'Cooling Tower &amp; Corrugated Fill'!$C$12))+0.62198*(0.61094*EXP(17.625*(((C152+0.6*'Cooling Tower &amp; Corrugated Fill'!$C$12))-32)/1.8/((((C152+0.6*'Cooling Tower &amp; Corrugated Fill'!$C$12))-32)/1.8+243.04)))/('Cooling Tower &amp; Corrugated Fill'!$C$14-(0.61094*EXP(17.625*(((C152+0.6*'Cooling Tower &amp; Corrugated Fill'!$C$12))-32)/1.8/((((C152+0.6*'Cooling Tower &amp; Corrugated Fill'!$C$12))-32)/1.8+243.04))))*(1061+0.444*((C152+0.6*'Cooling Tower &amp; Corrugated Fill'!$C$12))))-('Merkel Solver'!$C$4+'Cooling Tower &amp; Corrugated Fill'!$C$13*0.6*'Cooling Tower &amp; Corrugated Fill'!$C$12)</f>
        <v/>
      </c>
      <c r="G152" s="14">
        <f>(0.24*((C152+0.9*'Cooling Tower &amp; Corrugated Fill'!$C$12))+0.62198*(0.61094*EXP(17.625*(((C152+0.9*'Cooling Tower &amp; Corrugated Fill'!$C$12))-32)/1.8/((((C152+0.9*'Cooling Tower &amp; Corrugated Fill'!$C$12))-32)/1.8+243.04)))/('Cooling Tower &amp; Corrugated Fill'!$C$14-(0.61094*EXP(17.625*(((C152+0.9*'Cooling Tower &amp; Corrugated Fill'!$C$12))-32)/1.8/((((C152+0.9*'Cooling Tower &amp; Corrugated Fill'!$C$12))-32)/1.8+243.04))))*(1061+0.444*((C152+0.9*'Cooling Tower &amp; Corrugated Fill'!$C$12))))-('Merkel Solver'!$C$4+'Cooling Tower &amp; Corrugated Fill'!$C$13*0.9*'Cooling Tower &amp; Corrugated Fill'!$C$12)</f>
        <v/>
      </c>
      <c r="H152" s="22">
        <f>IF(MIN(D152:G152)&lt;=0,99999,'Cooling Tower &amp; Corrugated Fill'!$C$12/4*(1/D152+1/E152+1/F152+1/G152))</f>
        <v/>
      </c>
    </row>
    <row r="153">
      <c r="B153" s="30" t="n">
        <v>14.7</v>
      </c>
      <c r="C153" s="12">
        <f>'Dashboard'!$C$9+B153</f>
        <v/>
      </c>
      <c r="D153" s="14">
        <f>(0.24*((C153+0.1*'Cooling Tower &amp; Corrugated Fill'!$C$12))+0.62198*(0.61094*EXP(17.625*(((C153+0.1*'Cooling Tower &amp; Corrugated Fill'!$C$12))-32)/1.8/((((C153+0.1*'Cooling Tower &amp; Corrugated Fill'!$C$12))-32)/1.8+243.04)))/('Cooling Tower &amp; Corrugated Fill'!$C$14-(0.61094*EXP(17.625*(((C153+0.1*'Cooling Tower &amp; Corrugated Fill'!$C$12))-32)/1.8/((((C153+0.1*'Cooling Tower &amp; Corrugated Fill'!$C$12))-32)/1.8+243.04))))*(1061+0.444*((C153+0.1*'Cooling Tower &amp; Corrugated Fill'!$C$12))))-('Merkel Solver'!$C$4+'Cooling Tower &amp; Corrugated Fill'!$C$13*0.1*'Cooling Tower &amp; Corrugated Fill'!$C$12)</f>
        <v/>
      </c>
      <c r="E153" s="14">
        <f>(0.24*((C153+0.4*'Cooling Tower &amp; Corrugated Fill'!$C$12))+0.62198*(0.61094*EXP(17.625*(((C153+0.4*'Cooling Tower &amp; Corrugated Fill'!$C$12))-32)/1.8/((((C153+0.4*'Cooling Tower &amp; Corrugated Fill'!$C$12))-32)/1.8+243.04)))/('Cooling Tower &amp; Corrugated Fill'!$C$14-(0.61094*EXP(17.625*(((C153+0.4*'Cooling Tower &amp; Corrugated Fill'!$C$12))-32)/1.8/((((C153+0.4*'Cooling Tower &amp; Corrugated Fill'!$C$12))-32)/1.8+243.04))))*(1061+0.444*((C153+0.4*'Cooling Tower &amp; Corrugated Fill'!$C$12))))-('Merkel Solver'!$C$4+'Cooling Tower &amp; Corrugated Fill'!$C$13*0.4*'Cooling Tower &amp; Corrugated Fill'!$C$12)</f>
        <v/>
      </c>
      <c r="F153" s="14">
        <f>(0.24*((C153+0.6*'Cooling Tower &amp; Corrugated Fill'!$C$12))+0.62198*(0.61094*EXP(17.625*(((C153+0.6*'Cooling Tower &amp; Corrugated Fill'!$C$12))-32)/1.8/((((C153+0.6*'Cooling Tower &amp; Corrugated Fill'!$C$12))-32)/1.8+243.04)))/('Cooling Tower &amp; Corrugated Fill'!$C$14-(0.61094*EXP(17.625*(((C153+0.6*'Cooling Tower &amp; Corrugated Fill'!$C$12))-32)/1.8/((((C153+0.6*'Cooling Tower &amp; Corrugated Fill'!$C$12))-32)/1.8+243.04))))*(1061+0.444*((C153+0.6*'Cooling Tower &amp; Corrugated Fill'!$C$12))))-('Merkel Solver'!$C$4+'Cooling Tower &amp; Corrugated Fill'!$C$13*0.6*'Cooling Tower &amp; Corrugated Fill'!$C$12)</f>
        <v/>
      </c>
      <c r="G153" s="14">
        <f>(0.24*((C153+0.9*'Cooling Tower &amp; Corrugated Fill'!$C$12))+0.62198*(0.61094*EXP(17.625*(((C153+0.9*'Cooling Tower &amp; Corrugated Fill'!$C$12))-32)/1.8/((((C153+0.9*'Cooling Tower &amp; Corrugated Fill'!$C$12))-32)/1.8+243.04)))/('Cooling Tower &amp; Corrugated Fill'!$C$14-(0.61094*EXP(17.625*(((C153+0.9*'Cooling Tower &amp; Corrugated Fill'!$C$12))-32)/1.8/((((C153+0.9*'Cooling Tower &amp; Corrugated Fill'!$C$12))-32)/1.8+243.04))))*(1061+0.444*((C153+0.9*'Cooling Tower &amp; Corrugated Fill'!$C$12))))-('Merkel Solver'!$C$4+'Cooling Tower &amp; Corrugated Fill'!$C$13*0.9*'Cooling Tower &amp; Corrugated Fill'!$C$12)</f>
        <v/>
      </c>
      <c r="H153" s="22">
        <f>IF(MIN(D153:G153)&lt;=0,99999,'Cooling Tower &amp; Corrugated Fill'!$C$12/4*(1/D153+1/E153+1/F153+1/G153))</f>
        <v/>
      </c>
    </row>
    <row r="154">
      <c r="B154" s="30" t="n">
        <v>14.8</v>
      </c>
      <c r="C154" s="12">
        <f>'Dashboard'!$C$9+B154</f>
        <v/>
      </c>
      <c r="D154" s="14">
        <f>(0.24*((C154+0.1*'Cooling Tower &amp; Corrugated Fill'!$C$12))+0.62198*(0.61094*EXP(17.625*(((C154+0.1*'Cooling Tower &amp; Corrugated Fill'!$C$12))-32)/1.8/((((C154+0.1*'Cooling Tower &amp; Corrugated Fill'!$C$12))-32)/1.8+243.04)))/('Cooling Tower &amp; Corrugated Fill'!$C$14-(0.61094*EXP(17.625*(((C154+0.1*'Cooling Tower &amp; Corrugated Fill'!$C$12))-32)/1.8/((((C154+0.1*'Cooling Tower &amp; Corrugated Fill'!$C$12))-32)/1.8+243.04))))*(1061+0.444*((C154+0.1*'Cooling Tower &amp; Corrugated Fill'!$C$12))))-('Merkel Solver'!$C$4+'Cooling Tower &amp; Corrugated Fill'!$C$13*0.1*'Cooling Tower &amp; Corrugated Fill'!$C$12)</f>
        <v/>
      </c>
      <c r="E154" s="14">
        <f>(0.24*((C154+0.4*'Cooling Tower &amp; Corrugated Fill'!$C$12))+0.62198*(0.61094*EXP(17.625*(((C154+0.4*'Cooling Tower &amp; Corrugated Fill'!$C$12))-32)/1.8/((((C154+0.4*'Cooling Tower &amp; Corrugated Fill'!$C$12))-32)/1.8+243.04)))/('Cooling Tower &amp; Corrugated Fill'!$C$14-(0.61094*EXP(17.625*(((C154+0.4*'Cooling Tower &amp; Corrugated Fill'!$C$12))-32)/1.8/((((C154+0.4*'Cooling Tower &amp; Corrugated Fill'!$C$12))-32)/1.8+243.04))))*(1061+0.444*((C154+0.4*'Cooling Tower &amp; Corrugated Fill'!$C$12))))-('Merkel Solver'!$C$4+'Cooling Tower &amp; Corrugated Fill'!$C$13*0.4*'Cooling Tower &amp; Corrugated Fill'!$C$12)</f>
        <v/>
      </c>
      <c r="F154" s="14">
        <f>(0.24*((C154+0.6*'Cooling Tower &amp; Corrugated Fill'!$C$12))+0.62198*(0.61094*EXP(17.625*(((C154+0.6*'Cooling Tower &amp; Corrugated Fill'!$C$12))-32)/1.8/((((C154+0.6*'Cooling Tower &amp; Corrugated Fill'!$C$12))-32)/1.8+243.04)))/('Cooling Tower &amp; Corrugated Fill'!$C$14-(0.61094*EXP(17.625*(((C154+0.6*'Cooling Tower &amp; Corrugated Fill'!$C$12))-32)/1.8/((((C154+0.6*'Cooling Tower &amp; Corrugated Fill'!$C$12))-32)/1.8+243.04))))*(1061+0.444*((C154+0.6*'Cooling Tower &amp; Corrugated Fill'!$C$12))))-('Merkel Solver'!$C$4+'Cooling Tower &amp; Corrugated Fill'!$C$13*0.6*'Cooling Tower &amp; Corrugated Fill'!$C$12)</f>
        <v/>
      </c>
      <c r="G154" s="14">
        <f>(0.24*((C154+0.9*'Cooling Tower &amp; Corrugated Fill'!$C$12))+0.62198*(0.61094*EXP(17.625*(((C154+0.9*'Cooling Tower &amp; Corrugated Fill'!$C$12))-32)/1.8/((((C154+0.9*'Cooling Tower &amp; Corrugated Fill'!$C$12))-32)/1.8+243.04)))/('Cooling Tower &amp; Corrugated Fill'!$C$14-(0.61094*EXP(17.625*(((C154+0.9*'Cooling Tower &amp; Corrugated Fill'!$C$12))-32)/1.8/((((C154+0.9*'Cooling Tower &amp; Corrugated Fill'!$C$12))-32)/1.8+243.04))))*(1061+0.444*((C154+0.9*'Cooling Tower &amp; Corrugated Fill'!$C$12))))-('Merkel Solver'!$C$4+'Cooling Tower &amp; Corrugated Fill'!$C$13*0.9*'Cooling Tower &amp; Corrugated Fill'!$C$12)</f>
        <v/>
      </c>
      <c r="H154" s="22">
        <f>IF(MIN(D154:G154)&lt;=0,99999,'Cooling Tower &amp; Corrugated Fill'!$C$12/4*(1/D154+1/E154+1/F154+1/G154))</f>
        <v/>
      </c>
    </row>
    <row r="155">
      <c r="B155" s="30" t="n">
        <v>14.9</v>
      </c>
      <c r="C155" s="12">
        <f>'Dashboard'!$C$9+B155</f>
        <v/>
      </c>
      <c r="D155" s="14">
        <f>(0.24*((C155+0.1*'Cooling Tower &amp; Corrugated Fill'!$C$12))+0.62198*(0.61094*EXP(17.625*(((C155+0.1*'Cooling Tower &amp; Corrugated Fill'!$C$12))-32)/1.8/((((C155+0.1*'Cooling Tower &amp; Corrugated Fill'!$C$12))-32)/1.8+243.04)))/('Cooling Tower &amp; Corrugated Fill'!$C$14-(0.61094*EXP(17.625*(((C155+0.1*'Cooling Tower &amp; Corrugated Fill'!$C$12))-32)/1.8/((((C155+0.1*'Cooling Tower &amp; Corrugated Fill'!$C$12))-32)/1.8+243.04))))*(1061+0.444*((C155+0.1*'Cooling Tower &amp; Corrugated Fill'!$C$12))))-('Merkel Solver'!$C$4+'Cooling Tower &amp; Corrugated Fill'!$C$13*0.1*'Cooling Tower &amp; Corrugated Fill'!$C$12)</f>
        <v/>
      </c>
      <c r="E155" s="14">
        <f>(0.24*((C155+0.4*'Cooling Tower &amp; Corrugated Fill'!$C$12))+0.62198*(0.61094*EXP(17.625*(((C155+0.4*'Cooling Tower &amp; Corrugated Fill'!$C$12))-32)/1.8/((((C155+0.4*'Cooling Tower &amp; Corrugated Fill'!$C$12))-32)/1.8+243.04)))/('Cooling Tower &amp; Corrugated Fill'!$C$14-(0.61094*EXP(17.625*(((C155+0.4*'Cooling Tower &amp; Corrugated Fill'!$C$12))-32)/1.8/((((C155+0.4*'Cooling Tower &amp; Corrugated Fill'!$C$12))-32)/1.8+243.04))))*(1061+0.444*((C155+0.4*'Cooling Tower &amp; Corrugated Fill'!$C$12))))-('Merkel Solver'!$C$4+'Cooling Tower &amp; Corrugated Fill'!$C$13*0.4*'Cooling Tower &amp; Corrugated Fill'!$C$12)</f>
        <v/>
      </c>
      <c r="F155" s="14">
        <f>(0.24*((C155+0.6*'Cooling Tower &amp; Corrugated Fill'!$C$12))+0.62198*(0.61094*EXP(17.625*(((C155+0.6*'Cooling Tower &amp; Corrugated Fill'!$C$12))-32)/1.8/((((C155+0.6*'Cooling Tower &amp; Corrugated Fill'!$C$12))-32)/1.8+243.04)))/('Cooling Tower &amp; Corrugated Fill'!$C$14-(0.61094*EXP(17.625*(((C155+0.6*'Cooling Tower &amp; Corrugated Fill'!$C$12))-32)/1.8/((((C155+0.6*'Cooling Tower &amp; Corrugated Fill'!$C$12))-32)/1.8+243.04))))*(1061+0.444*((C155+0.6*'Cooling Tower &amp; Corrugated Fill'!$C$12))))-('Merkel Solver'!$C$4+'Cooling Tower &amp; Corrugated Fill'!$C$13*0.6*'Cooling Tower &amp; Corrugated Fill'!$C$12)</f>
        <v/>
      </c>
      <c r="G155" s="14">
        <f>(0.24*((C155+0.9*'Cooling Tower &amp; Corrugated Fill'!$C$12))+0.62198*(0.61094*EXP(17.625*(((C155+0.9*'Cooling Tower &amp; Corrugated Fill'!$C$12))-32)/1.8/((((C155+0.9*'Cooling Tower &amp; Corrugated Fill'!$C$12))-32)/1.8+243.04)))/('Cooling Tower &amp; Corrugated Fill'!$C$14-(0.61094*EXP(17.625*(((C155+0.9*'Cooling Tower &amp; Corrugated Fill'!$C$12))-32)/1.8/((((C155+0.9*'Cooling Tower &amp; Corrugated Fill'!$C$12))-32)/1.8+243.04))))*(1061+0.444*((C155+0.9*'Cooling Tower &amp; Corrugated Fill'!$C$12))))-('Merkel Solver'!$C$4+'Cooling Tower &amp; Corrugated Fill'!$C$13*0.9*'Cooling Tower &amp; Corrugated Fill'!$C$12)</f>
        <v/>
      </c>
      <c r="H155" s="22">
        <f>IF(MIN(D155:G155)&lt;=0,99999,'Cooling Tower &amp; Corrugated Fill'!$C$12/4*(1/D155+1/E155+1/F155+1/G155))</f>
        <v/>
      </c>
    </row>
    <row r="156">
      <c r="B156" s="30" t="n">
        <v>15</v>
      </c>
      <c r="C156" s="12">
        <f>'Dashboard'!$C$9+B156</f>
        <v/>
      </c>
      <c r="D156" s="14">
        <f>(0.24*((C156+0.1*'Cooling Tower &amp; Corrugated Fill'!$C$12))+0.62198*(0.61094*EXP(17.625*(((C156+0.1*'Cooling Tower &amp; Corrugated Fill'!$C$12))-32)/1.8/((((C156+0.1*'Cooling Tower &amp; Corrugated Fill'!$C$12))-32)/1.8+243.04)))/('Cooling Tower &amp; Corrugated Fill'!$C$14-(0.61094*EXP(17.625*(((C156+0.1*'Cooling Tower &amp; Corrugated Fill'!$C$12))-32)/1.8/((((C156+0.1*'Cooling Tower &amp; Corrugated Fill'!$C$12))-32)/1.8+243.04))))*(1061+0.444*((C156+0.1*'Cooling Tower &amp; Corrugated Fill'!$C$12))))-('Merkel Solver'!$C$4+'Cooling Tower &amp; Corrugated Fill'!$C$13*0.1*'Cooling Tower &amp; Corrugated Fill'!$C$12)</f>
        <v/>
      </c>
      <c r="E156" s="14">
        <f>(0.24*((C156+0.4*'Cooling Tower &amp; Corrugated Fill'!$C$12))+0.62198*(0.61094*EXP(17.625*(((C156+0.4*'Cooling Tower &amp; Corrugated Fill'!$C$12))-32)/1.8/((((C156+0.4*'Cooling Tower &amp; Corrugated Fill'!$C$12))-32)/1.8+243.04)))/('Cooling Tower &amp; Corrugated Fill'!$C$14-(0.61094*EXP(17.625*(((C156+0.4*'Cooling Tower &amp; Corrugated Fill'!$C$12))-32)/1.8/((((C156+0.4*'Cooling Tower &amp; Corrugated Fill'!$C$12))-32)/1.8+243.04))))*(1061+0.444*((C156+0.4*'Cooling Tower &amp; Corrugated Fill'!$C$12))))-('Merkel Solver'!$C$4+'Cooling Tower &amp; Corrugated Fill'!$C$13*0.4*'Cooling Tower &amp; Corrugated Fill'!$C$12)</f>
        <v/>
      </c>
      <c r="F156" s="14">
        <f>(0.24*((C156+0.6*'Cooling Tower &amp; Corrugated Fill'!$C$12))+0.62198*(0.61094*EXP(17.625*(((C156+0.6*'Cooling Tower &amp; Corrugated Fill'!$C$12))-32)/1.8/((((C156+0.6*'Cooling Tower &amp; Corrugated Fill'!$C$12))-32)/1.8+243.04)))/('Cooling Tower &amp; Corrugated Fill'!$C$14-(0.61094*EXP(17.625*(((C156+0.6*'Cooling Tower &amp; Corrugated Fill'!$C$12))-32)/1.8/((((C156+0.6*'Cooling Tower &amp; Corrugated Fill'!$C$12))-32)/1.8+243.04))))*(1061+0.444*((C156+0.6*'Cooling Tower &amp; Corrugated Fill'!$C$12))))-('Merkel Solver'!$C$4+'Cooling Tower &amp; Corrugated Fill'!$C$13*0.6*'Cooling Tower &amp; Corrugated Fill'!$C$12)</f>
        <v/>
      </c>
      <c r="G156" s="14">
        <f>(0.24*((C156+0.9*'Cooling Tower &amp; Corrugated Fill'!$C$12))+0.62198*(0.61094*EXP(17.625*(((C156+0.9*'Cooling Tower &amp; Corrugated Fill'!$C$12))-32)/1.8/((((C156+0.9*'Cooling Tower &amp; Corrugated Fill'!$C$12))-32)/1.8+243.04)))/('Cooling Tower &amp; Corrugated Fill'!$C$14-(0.61094*EXP(17.625*(((C156+0.9*'Cooling Tower &amp; Corrugated Fill'!$C$12))-32)/1.8/((((C156+0.9*'Cooling Tower &amp; Corrugated Fill'!$C$12))-32)/1.8+243.04))))*(1061+0.444*((C156+0.9*'Cooling Tower &amp; Corrugated Fill'!$C$12))))-('Merkel Solver'!$C$4+'Cooling Tower &amp; Corrugated Fill'!$C$13*0.9*'Cooling Tower &amp; Corrugated Fill'!$C$12)</f>
        <v/>
      </c>
      <c r="H156" s="22">
        <f>IF(MIN(D156:G156)&lt;=0,99999,'Cooling Tower &amp; Corrugated Fill'!$C$12/4*(1/D156+1/E156+1/F156+1/G156))</f>
        <v/>
      </c>
    </row>
    <row r="157">
      <c r="B157" s="30" t="n">
        <v>15.1</v>
      </c>
      <c r="C157" s="12">
        <f>'Dashboard'!$C$9+B157</f>
        <v/>
      </c>
      <c r="D157" s="14">
        <f>(0.24*((C157+0.1*'Cooling Tower &amp; Corrugated Fill'!$C$12))+0.62198*(0.61094*EXP(17.625*(((C157+0.1*'Cooling Tower &amp; Corrugated Fill'!$C$12))-32)/1.8/((((C157+0.1*'Cooling Tower &amp; Corrugated Fill'!$C$12))-32)/1.8+243.04)))/('Cooling Tower &amp; Corrugated Fill'!$C$14-(0.61094*EXP(17.625*(((C157+0.1*'Cooling Tower &amp; Corrugated Fill'!$C$12))-32)/1.8/((((C157+0.1*'Cooling Tower &amp; Corrugated Fill'!$C$12))-32)/1.8+243.04))))*(1061+0.444*((C157+0.1*'Cooling Tower &amp; Corrugated Fill'!$C$12))))-('Merkel Solver'!$C$4+'Cooling Tower &amp; Corrugated Fill'!$C$13*0.1*'Cooling Tower &amp; Corrugated Fill'!$C$12)</f>
        <v/>
      </c>
      <c r="E157" s="14">
        <f>(0.24*((C157+0.4*'Cooling Tower &amp; Corrugated Fill'!$C$12))+0.62198*(0.61094*EXP(17.625*(((C157+0.4*'Cooling Tower &amp; Corrugated Fill'!$C$12))-32)/1.8/((((C157+0.4*'Cooling Tower &amp; Corrugated Fill'!$C$12))-32)/1.8+243.04)))/('Cooling Tower &amp; Corrugated Fill'!$C$14-(0.61094*EXP(17.625*(((C157+0.4*'Cooling Tower &amp; Corrugated Fill'!$C$12))-32)/1.8/((((C157+0.4*'Cooling Tower &amp; Corrugated Fill'!$C$12))-32)/1.8+243.04))))*(1061+0.444*((C157+0.4*'Cooling Tower &amp; Corrugated Fill'!$C$12))))-('Merkel Solver'!$C$4+'Cooling Tower &amp; Corrugated Fill'!$C$13*0.4*'Cooling Tower &amp; Corrugated Fill'!$C$12)</f>
        <v/>
      </c>
      <c r="F157" s="14">
        <f>(0.24*((C157+0.6*'Cooling Tower &amp; Corrugated Fill'!$C$12))+0.62198*(0.61094*EXP(17.625*(((C157+0.6*'Cooling Tower &amp; Corrugated Fill'!$C$12))-32)/1.8/((((C157+0.6*'Cooling Tower &amp; Corrugated Fill'!$C$12))-32)/1.8+243.04)))/('Cooling Tower &amp; Corrugated Fill'!$C$14-(0.61094*EXP(17.625*(((C157+0.6*'Cooling Tower &amp; Corrugated Fill'!$C$12))-32)/1.8/((((C157+0.6*'Cooling Tower &amp; Corrugated Fill'!$C$12))-32)/1.8+243.04))))*(1061+0.444*((C157+0.6*'Cooling Tower &amp; Corrugated Fill'!$C$12))))-('Merkel Solver'!$C$4+'Cooling Tower &amp; Corrugated Fill'!$C$13*0.6*'Cooling Tower &amp; Corrugated Fill'!$C$12)</f>
        <v/>
      </c>
      <c r="G157" s="14">
        <f>(0.24*((C157+0.9*'Cooling Tower &amp; Corrugated Fill'!$C$12))+0.62198*(0.61094*EXP(17.625*(((C157+0.9*'Cooling Tower &amp; Corrugated Fill'!$C$12))-32)/1.8/((((C157+0.9*'Cooling Tower &amp; Corrugated Fill'!$C$12))-32)/1.8+243.04)))/('Cooling Tower &amp; Corrugated Fill'!$C$14-(0.61094*EXP(17.625*(((C157+0.9*'Cooling Tower &amp; Corrugated Fill'!$C$12))-32)/1.8/((((C157+0.9*'Cooling Tower &amp; Corrugated Fill'!$C$12))-32)/1.8+243.04))))*(1061+0.444*((C157+0.9*'Cooling Tower &amp; Corrugated Fill'!$C$12))))-('Merkel Solver'!$C$4+'Cooling Tower &amp; Corrugated Fill'!$C$13*0.9*'Cooling Tower &amp; Corrugated Fill'!$C$12)</f>
        <v/>
      </c>
      <c r="H157" s="22">
        <f>IF(MIN(D157:G157)&lt;=0,99999,'Cooling Tower &amp; Corrugated Fill'!$C$12/4*(1/D157+1/E157+1/F157+1/G157))</f>
        <v/>
      </c>
    </row>
    <row r="158">
      <c r="B158" s="30" t="n">
        <v>15.2</v>
      </c>
      <c r="C158" s="12">
        <f>'Dashboard'!$C$9+B158</f>
        <v/>
      </c>
      <c r="D158" s="14">
        <f>(0.24*((C158+0.1*'Cooling Tower &amp; Corrugated Fill'!$C$12))+0.62198*(0.61094*EXP(17.625*(((C158+0.1*'Cooling Tower &amp; Corrugated Fill'!$C$12))-32)/1.8/((((C158+0.1*'Cooling Tower &amp; Corrugated Fill'!$C$12))-32)/1.8+243.04)))/('Cooling Tower &amp; Corrugated Fill'!$C$14-(0.61094*EXP(17.625*(((C158+0.1*'Cooling Tower &amp; Corrugated Fill'!$C$12))-32)/1.8/((((C158+0.1*'Cooling Tower &amp; Corrugated Fill'!$C$12))-32)/1.8+243.04))))*(1061+0.444*((C158+0.1*'Cooling Tower &amp; Corrugated Fill'!$C$12))))-('Merkel Solver'!$C$4+'Cooling Tower &amp; Corrugated Fill'!$C$13*0.1*'Cooling Tower &amp; Corrugated Fill'!$C$12)</f>
        <v/>
      </c>
      <c r="E158" s="14">
        <f>(0.24*((C158+0.4*'Cooling Tower &amp; Corrugated Fill'!$C$12))+0.62198*(0.61094*EXP(17.625*(((C158+0.4*'Cooling Tower &amp; Corrugated Fill'!$C$12))-32)/1.8/((((C158+0.4*'Cooling Tower &amp; Corrugated Fill'!$C$12))-32)/1.8+243.04)))/('Cooling Tower &amp; Corrugated Fill'!$C$14-(0.61094*EXP(17.625*(((C158+0.4*'Cooling Tower &amp; Corrugated Fill'!$C$12))-32)/1.8/((((C158+0.4*'Cooling Tower &amp; Corrugated Fill'!$C$12))-32)/1.8+243.04))))*(1061+0.444*((C158+0.4*'Cooling Tower &amp; Corrugated Fill'!$C$12))))-('Merkel Solver'!$C$4+'Cooling Tower &amp; Corrugated Fill'!$C$13*0.4*'Cooling Tower &amp; Corrugated Fill'!$C$12)</f>
        <v/>
      </c>
      <c r="F158" s="14">
        <f>(0.24*((C158+0.6*'Cooling Tower &amp; Corrugated Fill'!$C$12))+0.62198*(0.61094*EXP(17.625*(((C158+0.6*'Cooling Tower &amp; Corrugated Fill'!$C$12))-32)/1.8/((((C158+0.6*'Cooling Tower &amp; Corrugated Fill'!$C$12))-32)/1.8+243.04)))/('Cooling Tower &amp; Corrugated Fill'!$C$14-(0.61094*EXP(17.625*(((C158+0.6*'Cooling Tower &amp; Corrugated Fill'!$C$12))-32)/1.8/((((C158+0.6*'Cooling Tower &amp; Corrugated Fill'!$C$12))-32)/1.8+243.04))))*(1061+0.444*((C158+0.6*'Cooling Tower &amp; Corrugated Fill'!$C$12))))-('Merkel Solver'!$C$4+'Cooling Tower &amp; Corrugated Fill'!$C$13*0.6*'Cooling Tower &amp; Corrugated Fill'!$C$12)</f>
        <v/>
      </c>
      <c r="G158" s="14">
        <f>(0.24*((C158+0.9*'Cooling Tower &amp; Corrugated Fill'!$C$12))+0.62198*(0.61094*EXP(17.625*(((C158+0.9*'Cooling Tower &amp; Corrugated Fill'!$C$12))-32)/1.8/((((C158+0.9*'Cooling Tower &amp; Corrugated Fill'!$C$12))-32)/1.8+243.04)))/('Cooling Tower &amp; Corrugated Fill'!$C$14-(0.61094*EXP(17.625*(((C158+0.9*'Cooling Tower &amp; Corrugated Fill'!$C$12))-32)/1.8/((((C158+0.9*'Cooling Tower &amp; Corrugated Fill'!$C$12))-32)/1.8+243.04))))*(1061+0.444*((C158+0.9*'Cooling Tower &amp; Corrugated Fill'!$C$12))))-('Merkel Solver'!$C$4+'Cooling Tower &amp; Corrugated Fill'!$C$13*0.9*'Cooling Tower &amp; Corrugated Fill'!$C$12)</f>
        <v/>
      </c>
      <c r="H158" s="22">
        <f>IF(MIN(D158:G158)&lt;=0,99999,'Cooling Tower &amp; Corrugated Fill'!$C$12/4*(1/D158+1/E158+1/F158+1/G158))</f>
        <v/>
      </c>
    </row>
    <row r="159">
      <c r="B159" s="30" t="n">
        <v>15.3</v>
      </c>
      <c r="C159" s="12">
        <f>'Dashboard'!$C$9+B159</f>
        <v/>
      </c>
      <c r="D159" s="14">
        <f>(0.24*((C159+0.1*'Cooling Tower &amp; Corrugated Fill'!$C$12))+0.62198*(0.61094*EXP(17.625*(((C159+0.1*'Cooling Tower &amp; Corrugated Fill'!$C$12))-32)/1.8/((((C159+0.1*'Cooling Tower &amp; Corrugated Fill'!$C$12))-32)/1.8+243.04)))/('Cooling Tower &amp; Corrugated Fill'!$C$14-(0.61094*EXP(17.625*(((C159+0.1*'Cooling Tower &amp; Corrugated Fill'!$C$12))-32)/1.8/((((C159+0.1*'Cooling Tower &amp; Corrugated Fill'!$C$12))-32)/1.8+243.04))))*(1061+0.444*((C159+0.1*'Cooling Tower &amp; Corrugated Fill'!$C$12))))-('Merkel Solver'!$C$4+'Cooling Tower &amp; Corrugated Fill'!$C$13*0.1*'Cooling Tower &amp; Corrugated Fill'!$C$12)</f>
        <v/>
      </c>
      <c r="E159" s="14">
        <f>(0.24*((C159+0.4*'Cooling Tower &amp; Corrugated Fill'!$C$12))+0.62198*(0.61094*EXP(17.625*(((C159+0.4*'Cooling Tower &amp; Corrugated Fill'!$C$12))-32)/1.8/((((C159+0.4*'Cooling Tower &amp; Corrugated Fill'!$C$12))-32)/1.8+243.04)))/('Cooling Tower &amp; Corrugated Fill'!$C$14-(0.61094*EXP(17.625*(((C159+0.4*'Cooling Tower &amp; Corrugated Fill'!$C$12))-32)/1.8/((((C159+0.4*'Cooling Tower &amp; Corrugated Fill'!$C$12))-32)/1.8+243.04))))*(1061+0.444*((C159+0.4*'Cooling Tower &amp; Corrugated Fill'!$C$12))))-('Merkel Solver'!$C$4+'Cooling Tower &amp; Corrugated Fill'!$C$13*0.4*'Cooling Tower &amp; Corrugated Fill'!$C$12)</f>
        <v/>
      </c>
      <c r="F159" s="14">
        <f>(0.24*((C159+0.6*'Cooling Tower &amp; Corrugated Fill'!$C$12))+0.62198*(0.61094*EXP(17.625*(((C159+0.6*'Cooling Tower &amp; Corrugated Fill'!$C$12))-32)/1.8/((((C159+0.6*'Cooling Tower &amp; Corrugated Fill'!$C$12))-32)/1.8+243.04)))/('Cooling Tower &amp; Corrugated Fill'!$C$14-(0.61094*EXP(17.625*(((C159+0.6*'Cooling Tower &amp; Corrugated Fill'!$C$12))-32)/1.8/((((C159+0.6*'Cooling Tower &amp; Corrugated Fill'!$C$12))-32)/1.8+243.04))))*(1061+0.444*((C159+0.6*'Cooling Tower &amp; Corrugated Fill'!$C$12))))-('Merkel Solver'!$C$4+'Cooling Tower &amp; Corrugated Fill'!$C$13*0.6*'Cooling Tower &amp; Corrugated Fill'!$C$12)</f>
        <v/>
      </c>
      <c r="G159" s="14">
        <f>(0.24*((C159+0.9*'Cooling Tower &amp; Corrugated Fill'!$C$12))+0.62198*(0.61094*EXP(17.625*(((C159+0.9*'Cooling Tower &amp; Corrugated Fill'!$C$12))-32)/1.8/((((C159+0.9*'Cooling Tower &amp; Corrugated Fill'!$C$12))-32)/1.8+243.04)))/('Cooling Tower &amp; Corrugated Fill'!$C$14-(0.61094*EXP(17.625*(((C159+0.9*'Cooling Tower &amp; Corrugated Fill'!$C$12))-32)/1.8/((((C159+0.9*'Cooling Tower &amp; Corrugated Fill'!$C$12))-32)/1.8+243.04))))*(1061+0.444*((C159+0.9*'Cooling Tower &amp; Corrugated Fill'!$C$12))))-('Merkel Solver'!$C$4+'Cooling Tower &amp; Corrugated Fill'!$C$13*0.9*'Cooling Tower &amp; Corrugated Fill'!$C$12)</f>
        <v/>
      </c>
      <c r="H159" s="22">
        <f>IF(MIN(D159:G159)&lt;=0,99999,'Cooling Tower &amp; Corrugated Fill'!$C$12/4*(1/D159+1/E159+1/F159+1/G159))</f>
        <v/>
      </c>
    </row>
    <row r="160">
      <c r="B160" s="30" t="n">
        <v>15.4</v>
      </c>
      <c r="C160" s="12">
        <f>'Dashboard'!$C$9+B160</f>
        <v/>
      </c>
      <c r="D160" s="14">
        <f>(0.24*((C160+0.1*'Cooling Tower &amp; Corrugated Fill'!$C$12))+0.62198*(0.61094*EXP(17.625*(((C160+0.1*'Cooling Tower &amp; Corrugated Fill'!$C$12))-32)/1.8/((((C160+0.1*'Cooling Tower &amp; Corrugated Fill'!$C$12))-32)/1.8+243.04)))/('Cooling Tower &amp; Corrugated Fill'!$C$14-(0.61094*EXP(17.625*(((C160+0.1*'Cooling Tower &amp; Corrugated Fill'!$C$12))-32)/1.8/((((C160+0.1*'Cooling Tower &amp; Corrugated Fill'!$C$12))-32)/1.8+243.04))))*(1061+0.444*((C160+0.1*'Cooling Tower &amp; Corrugated Fill'!$C$12))))-('Merkel Solver'!$C$4+'Cooling Tower &amp; Corrugated Fill'!$C$13*0.1*'Cooling Tower &amp; Corrugated Fill'!$C$12)</f>
        <v/>
      </c>
      <c r="E160" s="14">
        <f>(0.24*((C160+0.4*'Cooling Tower &amp; Corrugated Fill'!$C$12))+0.62198*(0.61094*EXP(17.625*(((C160+0.4*'Cooling Tower &amp; Corrugated Fill'!$C$12))-32)/1.8/((((C160+0.4*'Cooling Tower &amp; Corrugated Fill'!$C$12))-32)/1.8+243.04)))/('Cooling Tower &amp; Corrugated Fill'!$C$14-(0.61094*EXP(17.625*(((C160+0.4*'Cooling Tower &amp; Corrugated Fill'!$C$12))-32)/1.8/((((C160+0.4*'Cooling Tower &amp; Corrugated Fill'!$C$12))-32)/1.8+243.04))))*(1061+0.444*((C160+0.4*'Cooling Tower &amp; Corrugated Fill'!$C$12))))-('Merkel Solver'!$C$4+'Cooling Tower &amp; Corrugated Fill'!$C$13*0.4*'Cooling Tower &amp; Corrugated Fill'!$C$12)</f>
        <v/>
      </c>
      <c r="F160" s="14">
        <f>(0.24*((C160+0.6*'Cooling Tower &amp; Corrugated Fill'!$C$12))+0.62198*(0.61094*EXP(17.625*(((C160+0.6*'Cooling Tower &amp; Corrugated Fill'!$C$12))-32)/1.8/((((C160+0.6*'Cooling Tower &amp; Corrugated Fill'!$C$12))-32)/1.8+243.04)))/('Cooling Tower &amp; Corrugated Fill'!$C$14-(0.61094*EXP(17.625*(((C160+0.6*'Cooling Tower &amp; Corrugated Fill'!$C$12))-32)/1.8/((((C160+0.6*'Cooling Tower &amp; Corrugated Fill'!$C$12))-32)/1.8+243.04))))*(1061+0.444*((C160+0.6*'Cooling Tower &amp; Corrugated Fill'!$C$12))))-('Merkel Solver'!$C$4+'Cooling Tower &amp; Corrugated Fill'!$C$13*0.6*'Cooling Tower &amp; Corrugated Fill'!$C$12)</f>
        <v/>
      </c>
      <c r="G160" s="14">
        <f>(0.24*((C160+0.9*'Cooling Tower &amp; Corrugated Fill'!$C$12))+0.62198*(0.61094*EXP(17.625*(((C160+0.9*'Cooling Tower &amp; Corrugated Fill'!$C$12))-32)/1.8/((((C160+0.9*'Cooling Tower &amp; Corrugated Fill'!$C$12))-32)/1.8+243.04)))/('Cooling Tower &amp; Corrugated Fill'!$C$14-(0.61094*EXP(17.625*(((C160+0.9*'Cooling Tower &amp; Corrugated Fill'!$C$12))-32)/1.8/((((C160+0.9*'Cooling Tower &amp; Corrugated Fill'!$C$12))-32)/1.8+243.04))))*(1061+0.444*((C160+0.9*'Cooling Tower &amp; Corrugated Fill'!$C$12))))-('Merkel Solver'!$C$4+'Cooling Tower &amp; Corrugated Fill'!$C$13*0.9*'Cooling Tower &amp; Corrugated Fill'!$C$12)</f>
        <v/>
      </c>
      <c r="H160" s="22">
        <f>IF(MIN(D160:G160)&lt;=0,99999,'Cooling Tower &amp; Corrugated Fill'!$C$12/4*(1/D160+1/E160+1/F160+1/G160))</f>
        <v/>
      </c>
    </row>
    <row r="161">
      <c r="B161" s="30" t="n">
        <v>15.5</v>
      </c>
      <c r="C161" s="12">
        <f>'Dashboard'!$C$9+B161</f>
        <v/>
      </c>
      <c r="D161" s="14">
        <f>(0.24*((C161+0.1*'Cooling Tower &amp; Corrugated Fill'!$C$12))+0.62198*(0.61094*EXP(17.625*(((C161+0.1*'Cooling Tower &amp; Corrugated Fill'!$C$12))-32)/1.8/((((C161+0.1*'Cooling Tower &amp; Corrugated Fill'!$C$12))-32)/1.8+243.04)))/('Cooling Tower &amp; Corrugated Fill'!$C$14-(0.61094*EXP(17.625*(((C161+0.1*'Cooling Tower &amp; Corrugated Fill'!$C$12))-32)/1.8/((((C161+0.1*'Cooling Tower &amp; Corrugated Fill'!$C$12))-32)/1.8+243.04))))*(1061+0.444*((C161+0.1*'Cooling Tower &amp; Corrugated Fill'!$C$12))))-('Merkel Solver'!$C$4+'Cooling Tower &amp; Corrugated Fill'!$C$13*0.1*'Cooling Tower &amp; Corrugated Fill'!$C$12)</f>
        <v/>
      </c>
      <c r="E161" s="14">
        <f>(0.24*((C161+0.4*'Cooling Tower &amp; Corrugated Fill'!$C$12))+0.62198*(0.61094*EXP(17.625*(((C161+0.4*'Cooling Tower &amp; Corrugated Fill'!$C$12))-32)/1.8/((((C161+0.4*'Cooling Tower &amp; Corrugated Fill'!$C$12))-32)/1.8+243.04)))/('Cooling Tower &amp; Corrugated Fill'!$C$14-(0.61094*EXP(17.625*(((C161+0.4*'Cooling Tower &amp; Corrugated Fill'!$C$12))-32)/1.8/((((C161+0.4*'Cooling Tower &amp; Corrugated Fill'!$C$12))-32)/1.8+243.04))))*(1061+0.444*((C161+0.4*'Cooling Tower &amp; Corrugated Fill'!$C$12))))-('Merkel Solver'!$C$4+'Cooling Tower &amp; Corrugated Fill'!$C$13*0.4*'Cooling Tower &amp; Corrugated Fill'!$C$12)</f>
        <v/>
      </c>
      <c r="F161" s="14">
        <f>(0.24*((C161+0.6*'Cooling Tower &amp; Corrugated Fill'!$C$12))+0.62198*(0.61094*EXP(17.625*(((C161+0.6*'Cooling Tower &amp; Corrugated Fill'!$C$12))-32)/1.8/((((C161+0.6*'Cooling Tower &amp; Corrugated Fill'!$C$12))-32)/1.8+243.04)))/('Cooling Tower &amp; Corrugated Fill'!$C$14-(0.61094*EXP(17.625*(((C161+0.6*'Cooling Tower &amp; Corrugated Fill'!$C$12))-32)/1.8/((((C161+0.6*'Cooling Tower &amp; Corrugated Fill'!$C$12))-32)/1.8+243.04))))*(1061+0.444*((C161+0.6*'Cooling Tower &amp; Corrugated Fill'!$C$12))))-('Merkel Solver'!$C$4+'Cooling Tower &amp; Corrugated Fill'!$C$13*0.6*'Cooling Tower &amp; Corrugated Fill'!$C$12)</f>
        <v/>
      </c>
      <c r="G161" s="14">
        <f>(0.24*((C161+0.9*'Cooling Tower &amp; Corrugated Fill'!$C$12))+0.62198*(0.61094*EXP(17.625*(((C161+0.9*'Cooling Tower &amp; Corrugated Fill'!$C$12))-32)/1.8/((((C161+0.9*'Cooling Tower &amp; Corrugated Fill'!$C$12))-32)/1.8+243.04)))/('Cooling Tower &amp; Corrugated Fill'!$C$14-(0.61094*EXP(17.625*(((C161+0.9*'Cooling Tower &amp; Corrugated Fill'!$C$12))-32)/1.8/((((C161+0.9*'Cooling Tower &amp; Corrugated Fill'!$C$12))-32)/1.8+243.04))))*(1061+0.444*((C161+0.9*'Cooling Tower &amp; Corrugated Fill'!$C$12))))-('Merkel Solver'!$C$4+'Cooling Tower &amp; Corrugated Fill'!$C$13*0.9*'Cooling Tower &amp; Corrugated Fill'!$C$12)</f>
        <v/>
      </c>
      <c r="H161" s="22">
        <f>IF(MIN(D161:G161)&lt;=0,99999,'Cooling Tower &amp; Corrugated Fill'!$C$12/4*(1/D161+1/E161+1/F161+1/G161))</f>
        <v/>
      </c>
    </row>
    <row r="162">
      <c r="B162" s="30" t="n">
        <v>15.6</v>
      </c>
      <c r="C162" s="12">
        <f>'Dashboard'!$C$9+B162</f>
        <v/>
      </c>
      <c r="D162" s="14">
        <f>(0.24*((C162+0.1*'Cooling Tower &amp; Corrugated Fill'!$C$12))+0.62198*(0.61094*EXP(17.625*(((C162+0.1*'Cooling Tower &amp; Corrugated Fill'!$C$12))-32)/1.8/((((C162+0.1*'Cooling Tower &amp; Corrugated Fill'!$C$12))-32)/1.8+243.04)))/('Cooling Tower &amp; Corrugated Fill'!$C$14-(0.61094*EXP(17.625*(((C162+0.1*'Cooling Tower &amp; Corrugated Fill'!$C$12))-32)/1.8/((((C162+0.1*'Cooling Tower &amp; Corrugated Fill'!$C$12))-32)/1.8+243.04))))*(1061+0.444*((C162+0.1*'Cooling Tower &amp; Corrugated Fill'!$C$12))))-('Merkel Solver'!$C$4+'Cooling Tower &amp; Corrugated Fill'!$C$13*0.1*'Cooling Tower &amp; Corrugated Fill'!$C$12)</f>
        <v/>
      </c>
      <c r="E162" s="14">
        <f>(0.24*((C162+0.4*'Cooling Tower &amp; Corrugated Fill'!$C$12))+0.62198*(0.61094*EXP(17.625*(((C162+0.4*'Cooling Tower &amp; Corrugated Fill'!$C$12))-32)/1.8/((((C162+0.4*'Cooling Tower &amp; Corrugated Fill'!$C$12))-32)/1.8+243.04)))/('Cooling Tower &amp; Corrugated Fill'!$C$14-(0.61094*EXP(17.625*(((C162+0.4*'Cooling Tower &amp; Corrugated Fill'!$C$12))-32)/1.8/((((C162+0.4*'Cooling Tower &amp; Corrugated Fill'!$C$12))-32)/1.8+243.04))))*(1061+0.444*((C162+0.4*'Cooling Tower &amp; Corrugated Fill'!$C$12))))-('Merkel Solver'!$C$4+'Cooling Tower &amp; Corrugated Fill'!$C$13*0.4*'Cooling Tower &amp; Corrugated Fill'!$C$12)</f>
        <v/>
      </c>
      <c r="F162" s="14">
        <f>(0.24*((C162+0.6*'Cooling Tower &amp; Corrugated Fill'!$C$12))+0.62198*(0.61094*EXP(17.625*(((C162+0.6*'Cooling Tower &amp; Corrugated Fill'!$C$12))-32)/1.8/((((C162+0.6*'Cooling Tower &amp; Corrugated Fill'!$C$12))-32)/1.8+243.04)))/('Cooling Tower &amp; Corrugated Fill'!$C$14-(0.61094*EXP(17.625*(((C162+0.6*'Cooling Tower &amp; Corrugated Fill'!$C$12))-32)/1.8/((((C162+0.6*'Cooling Tower &amp; Corrugated Fill'!$C$12))-32)/1.8+243.04))))*(1061+0.444*((C162+0.6*'Cooling Tower &amp; Corrugated Fill'!$C$12))))-('Merkel Solver'!$C$4+'Cooling Tower &amp; Corrugated Fill'!$C$13*0.6*'Cooling Tower &amp; Corrugated Fill'!$C$12)</f>
        <v/>
      </c>
      <c r="G162" s="14">
        <f>(0.24*((C162+0.9*'Cooling Tower &amp; Corrugated Fill'!$C$12))+0.62198*(0.61094*EXP(17.625*(((C162+0.9*'Cooling Tower &amp; Corrugated Fill'!$C$12))-32)/1.8/((((C162+0.9*'Cooling Tower &amp; Corrugated Fill'!$C$12))-32)/1.8+243.04)))/('Cooling Tower &amp; Corrugated Fill'!$C$14-(0.61094*EXP(17.625*(((C162+0.9*'Cooling Tower &amp; Corrugated Fill'!$C$12))-32)/1.8/((((C162+0.9*'Cooling Tower &amp; Corrugated Fill'!$C$12))-32)/1.8+243.04))))*(1061+0.444*((C162+0.9*'Cooling Tower &amp; Corrugated Fill'!$C$12))))-('Merkel Solver'!$C$4+'Cooling Tower &amp; Corrugated Fill'!$C$13*0.9*'Cooling Tower &amp; Corrugated Fill'!$C$12)</f>
        <v/>
      </c>
      <c r="H162" s="22">
        <f>IF(MIN(D162:G162)&lt;=0,99999,'Cooling Tower &amp; Corrugated Fill'!$C$12/4*(1/D162+1/E162+1/F162+1/G162))</f>
        <v/>
      </c>
    </row>
    <row r="163">
      <c r="B163" s="30" t="n">
        <v>15.7</v>
      </c>
      <c r="C163" s="12">
        <f>'Dashboard'!$C$9+B163</f>
        <v/>
      </c>
      <c r="D163" s="14">
        <f>(0.24*((C163+0.1*'Cooling Tower &amp; Corrugated Fill'!$C$12))+0.62198*(0.61094*EXP(17.625*(((C163+0.1*'Cooling Tower &amp; Corrugated Fill'!$C$12))-32)/1.8/((((C163+0.1*'Cooling Tower &amp; Corrugated Fill'!$C$12))-32)/1.8+243.04)))/('Cooling Tower &amp; Corrugated Fill'!$C$14-(0.61094*EXP(17.625*(((C163+0.1*'Cooling Tower &amp; Corrugated Fill'!$C$12))-32)/1.8/((((C163+0.1*'Cooling Tower &amp; Corrugated Fill'!$C$12))-32)/1.8+243.04))))*(1061+0.444*((C163+0.1*'Cooling Tower &amp; Corrugated Fill'!$C$12))))-('Merkel Solver'!$C$4+'Cooling Tower &amp; Corrugated Fill'!$C$13*0.1*'Cooling Tower &amp; Corrugated Fill'!$C$12)</f>
        <v/>
      </c>
      <c r="E163" s="14">
        <f>(0.24*((C163+0.4*'Cooling Tower &amp; Corrugated Fill'!$C$12))+0.62198*(0.61094*EXP(17.625*(((C163+0.4*'Cooling Tower &amp; Corrugated Fill'!$C$12))-32)/1.8/((((C163+0.4*'Cooling Tower &amp; Corrugated Fill'!$C$12))-32)/1.8+243.04)))/('Cooling Tower &amp; Corrugated Fill'!$C$14-(0.61094*EXP(17.625*(((C163+0.4*'Cooling Tower &amp; Corrugated Fill'!$C$12))-32)/1.8/((((C163+0.4*'Cooling Tower &amp; Corrugated Fill'!$C$12))-32)/1.8+243.04))))*(1061+0.444*((C163+0.4*'Cooling Tower &amp; Corrugated Fill'!$C$12))))-('Merkel Solver'!$C$4+'Cooling Tower &amp; Corrugated Fill'!$C$13*0.4*'Cooling Tower &amp; Corrugated Fill'!$C$12)</f>
        <v/>
      </c>
      <c r="F163" s="14">
        <f>(0.24*((C163+0.6*'Cooling Tower &amp; Corrugated Fill'!$C$12))+0.62198*(0.61094*EXP(17.625*(((C163+0.6*'Cooling Tower &amp; Corrugated Fill'!$C$12))-32)/1.8/((((C163+0.6*'Cooling Tower &amp; Corrugated Fill'!$C$12))-32)/1.8+243.04)))/('Cooling Tower &amp; Corrugated Fill'!$C$14-(0.61094*EXP(17.625*(((C163+0.6*'Cooling Tower &amp; Corrugated Fill'!$C$12))-32)/1.8/((((C163+0.6*'Cooling Tower &amp; Corrugated Fill'!$C$12))-32)/1.8+243.04))))*(1061+0.444*((C163+0.6*'Cooling Tower &amp; Corrugated Fill'!$C$12))))-('Merkel Solver'!$C$4+'Cooling Tower &amp; Corrugated Fill'!$C$13*0.6*'Cooling Tower &amp; Corrugated Fill'!$C$12)</f>
        <v/>
      </c>
      <c r="G163" s="14">
        <f>(0.24*((C163+0.9*'Cooling Tower &amp; Corrugated Fill'!$C$12))+0.62198*(0.61094*EXP(17.625*(((C163+0.9*'Cooling Tower &amp; Corrugated Fill'!$C$12))-32)/1.8/((((C163+0.9*'Cooling Tower &amp; Corrugated Fill'!$C$12))-32)/1.8+243.04)))/('Cooling Tower &amp; Corrugated Fill'!$C$14-(0.61094*EXP(17.625*(((C163+0.9*'Cooling Tower &amp; Corrugated Fill'!$C$12))-32)/1.8/((((C163+0.9*'Cooling Tower &amp; Corrugated Fill'!$C$12))-32)/1.8+243.04))))*(1061+0.444*((C163+0.9*'Cooling Tower &amp; Corrugated Fill'!$C$12))))-('Merkel Solver'!$C$4+'Cooling Tower &amp; Corrugated Fill'!$C$13*0.9*'Cooling Tower &amp; Corrugated Fill'!$C$12)</f>
        <v/>
      </c>
      <c r="H163" s="22">
        <f>IF(MIN(D163:G163)&lt;=0,99999,'Cooling Tower &amp; Corrugated Fill'!$C$12/4*(1/D163+1/E163+1/F163+1/G163))</f>
        <v/>
      </c>
    </row>
    <row r="164">
      <c r="B164" s="30" t="n">
        <v>15.8</v>
      </c>
      <c r="C164" s="12">
        <f>'Dashboard'!$C$9+B164</f>
        <v/>
      </c>
      <c r="D164" s="14">
        <f>(0.24*((C164+0.1*'Cooling Tower &amp; Corrugated Fill'!$C$12))+0.62198*(0.61094*EXP(17.625*(((C164+0.1*'Cooling Tower &amp; Corrugated Fill'!$C$12))-32)/1.8/((((C164+0.1*'Cooling Tower &amp; Corrugated Fill'!$C$12))-32)/1.8+243.04)))/('Cooling Tower &amp; Corrugated Fill'!$C$14-(0.61094*EXP(17.625*(((C164+0.1*'Cooling Tower &amp; Corrugated Fill'!$C$12))-32)/1.8/((((C164+0.1*'Cooling Tower &amp; Corrugated Fill'!$C$12))-32)/1.8+243.04))))*(1061+0.444*((C164+0.1*'Cooling Tower &amp; Corrugated Fill'!$C$12))))-('Merkel Solver'!$C$4+'Cooling Tower &amp; Corrugated Fill'!$C$13*0.1*'Cooling Tower &amp; Corrugated Fill'!$C$12)</f>
        <v/>
      </c>
      <c r="E164" s="14">
        <f>(0.24*((C164+0.4*'Cooling Tower &amp; Corrugated Fill'!$C$12))+0.62198*(0.61094*EXP(17.625*(((C164+0.4*'Cooling Tower &amp; Corrugated Fill'!$C$12))-32)/1.8/((((C164+0.4*'Cooling Tower &amp; Corrugated Fill'!$C$12))-32)/1.8+243.04)))/('Cooling Tower &amp; Corrugated Fill'!$C$14-(0.61094*EXP(17.625*(((C164+0.4*'Cooling Tower &amp; Corrugated Fill'!$C$12))-32)/1.8/((((C164+0.4*'Cooling Tower &amp; Corrugated Fill'!$C$12))-32)/1.8+243.04))))*(1061+0.444*((C164+0.4*'Cooling Tower &amp; Corrugated Fill'!$C$12))))-('Merkel Solver'!$C$4+'Cooling Tower &amp; Corrugated Fill'!$C$13*0.4*'Cooling Tower &amp; Corrugated Fill'!$C$12)</f>
        <v/>
      </c>
      <c r="F164" s="14">
        <f>(0.24*((C164+0.6*'Cooling Tower &amp; Corrugated Fill'!$C$12))+0.62198*(0.61094*EXP(17.625*(((C164+0.6*'Cooling Tower &amp; Corrugated Fill'!$C$12))-32)/1.8/((((C164+0.6*'Cooling Tower &amp; Corrugated Fill'!$C$12))-32)/1.8+243.04)))/('Cooling Tower &amp; Corrugated Fill'!$C$14-(0.61094*EXP(17.625*(((C164+0.6*'Cooling Tower &amp; Corrugated Fill'!$C$12))-32)/1.8/((((C164+0.6*'Cooling Tower &amp; Corrugated Fill'!$C$12))-32)/1.8+243.04))))*(1061+0.444*((C164+0.6*'Cooling Tower &amp; Corrugated Fill'!$C$12))))-('Merkel Solver'!$C$4+'Cooling Tower &amp; Corrugated Fill'!$C$13*0.6*'Cooling Tower &amp; Corrugated Fill'!$C$12)</f>
        <v/>
      </c>
      <c r="G164" s="14">
        <f>(0.24*((C164+0.9*'Cooling Tower &amp; Corrugated Fill'!$C$12))+0.62198*(0.61094*EXP(17.625*(((C164+0.9*'Cooling Tower &amp; Corrugated Fill'!$C$12))-32)/1.8/((((C164+0.9*'Cooling Tower &amp; Corrugated Fill'!$C$12))-32)/1.8+243.04)))/('Cooling Tower &amp; Corrugated Fill'!$C$14-(0.61094*EXP(17.625*(((C164+0.9*'Cooling Tower &amp; Corrugated Fill'!$C$12))-32)/1.8/((((C164+0.9*'Cooling Tower &amp; Corrugated Fill'!$C$12))-32)/1.8+243.04))))*(1061+0.444*((C164+0.9*'Cooling Tower &amp; Corrugated Fill'!$C$12))))-('Merkel Solver'!$C$4+'Cooling Tower &amp; Corrugated Fill'!$C$13*0.9*'Cooling Tower &amp; Corrugated Fill'!$C$12)</f>
        <v/>
      </c>
      <c r="H164" s="22">
        <f>IF(MIN(D164:G164)&lt;=0,99999,'Cooling Tower &amp; Corrugated Fill'!$C$12/4*(1/D164+1/E164+1/F164+1/G164))</f>
        <v/>
      </c>
    </row>
    <row r="165">
      <c r="B165" s="30" t="n">
        <v>15.9</v>
      </c>
      <c r="C165" s="12">
        <f>'Dashboard'!$C$9+B165</f>
        <v/>
      </c>
      <c r="D165" s="14">
        <f>(0.24*((C165+0.1*'Cooling Tower &amp; Corrugated Fill'!$C$12))+0.62198*(0.61094*EXP(17.625*(((C165+0.1*'Cooling Tower &amp; Corrugated Fill'!$C$12))-32)/1.8/((((C165+0.1*'Cooling Tower &amp; Corrugated Fill'!$C$12))-32)/1.8+243.04)))/('Cooling Tower &amp; Corrugated Fill'!$C$14-(0.61094*EXP(17.625*(((C165+0.1*'Cooling Tower &amp; Corrugated Fill'!$C$12))-32)/1.8/((((C165+0.1*'Cooling Tower &amp; Corrugated Fill'!$C$12))-32)/1.8+243.04))))*(1061+0.444*((C165+0.1*'Cooling Tower &amp; Corrugated Fill'!$C$12))))-('Merkel Solver'!$C$4+'Cooling Tower &amp; Corrugated Fill'!$C$13*0.1*'Cooling Tower &amp; Corrugated Fill'!$C$12)</f>
        <v/>
      </c>
      <c r="E165" s="14">
        <f>(0.24*((C165+0.4*'Cooling Tower &amp; Corrugated Fill'!$C$12))+0.62198*(0.61094*EXP(17.625*(((C165+0.4*'Cooling Tower &amp; Corrugated Fill'!$C$12))-32)/1.8/((((C165+0.4*'Cooling Tower &amp; Corrugated Fill'!$C$12))-32)/1.8+243.04)))/('Cooling Tower &amp; Corrugated Fill'!$C$14-(0.61094*EXP(17.625*(((C165+0.4*'Cooling Tower &amp; Corrugated Fill'!$C$12))-32)/1.8/((((C165+0.4*'Cooling Tower &amp; Corrugated Fill'!$C$12))-32)/1.8+243.04))))*(1061+0.444*((C165+0.4*'Cooling Tower &amp; Corrugated Fill'!$C$12))))-('Merkel Solver'!$C$4+'Cooling Tower &amp; Corrugated Fill'!$C$13*0.4*'Cooling Tower &amp; Corrugated Fill'!$C$12)</f>
        <v/>
      </c>
      <c r="F165" s="14">
        <f>(0.24*((C165+0.6*'Cooling Tower &amp; Corrugated Fill'!$C$12))+0.62198*(0.61094*EXP(17.625*(((C165+0.6*'Cooling Tower &amp; Corrugated Fill'!$C$12))-32)/1.8/((((C165+0.6*'Cooling Tower &amp; Corrugated Fill'!$C$12))-32)/1.8+243.04)))/('Cooling Tower &amp; Corrugated Fill'!$C$14-(0.61094*EXP(17.625*(((C165+0.6*'Cooling Tower &amp; Corrugated Fill'!$C$12))-32)/1.8/((((C165+0.6*'Cooling Tower &amp; Corrugated Fill'!$C$12))-32)/1.8+243.04))))*(1061+0.444*((C165+0.6*'Cooling Tower &amp; Corrugated Fill'!$C$12))))-('Merkel Solver'!$C$4+'Cooling Tower &amp; Corrugated Fill'!$C$13*0.6*'Cooling Tower &amp; Corrugated Fill'!$C$12)</f>
        <v/>
      </c>
      <c r="G165" s="14">
        <f>(0.24*((C165+0.9*'Cooling Tower &amp; Corrugated Fill'!$C$12))+0.62198*(0.61094*EXP(17.625*(((C165+0.9*'Cooling Tower &amp; Corrugated Fill'!$C$12))-32)/1.8/((((C165+0.9*'Cooling Tower &amp; Corrugated Fill'!$C$12))-32)/1.8+243.04)))/('Cooling Tower &amp; Corrugated Fill'!$C$14-(0.61094*EXP(17.625*(((C165+0.9*'Cooling Tower &amp; Corrugated Fill'!$C$12))-32)/1.8/((((C165+0.9*'Cooling Tower &amp; Corrugated Fill'!$C$12))-32)/1.8+243.04))))*(1061+0.444*((C165+0.9*'Cooling Tower &amp; Corrugated Fill'!$C$12))))-('Merkel Solver'!$C$4+'Cooling Tower &amp; Corrugated Fill'!$C$13*0.9*'Cooling Tower &amp; Corrugated Fill'!$C$12)</f>
        <v/>
      </c>
      <c r="H165" s="22">
        <f>IF(MIN(D165:G165)&lt;=0,99999,'Cooling Tower &amp; Corrugated Fill'!$C$12/4*(1/D165+1/E165+1/F165+1/G165))</f>
        <v/>
      </c>
    </row>
    <row r="166">
      <c r="B166" s="30" t="n">
        <v>16</v>
      </c>
      <c r="C166" s="12">
        <f>'Dashboard'!$C$9+B166</f>
        <v/>
      </c>
      <c r="D166" s="14">
        <f>(0.24*((C166+0.1*'Cooling Tower &amp; Corrugated Fill'!$C$12))+0.62198*(0.61094*EXP(17.625*(((C166+0.1*'Cooling Tower &amp; Corrugated Fill'!$C$12))-32)/1.8/((((C166+0.1*'Cooling Tower &amp; Corrugated Fill'!$C$12))-32)/1.8+243.04)))/('Cooling Tower &amp; Corrugated Fill'!$C$14-(0.61094*EXP(17.625*(((C166+0.1*'Cooling Tower &amp; Corrugated Fill'!$C$12))-32)/1.8/((((C166+0.1*'Cooling Tower &amp; Corrugated Fill'!$C$12))-32)/1.8+243.04))))*(1061+0.444*((C166+0.1*'Cooling Tower &amp; Corrugated Fill'!$C$12))))-('Merkel Solver'!$C$4+'Cooling Tower &amp; Corrugated Fill'!$C$13*0.1*'Cooling Tower &amp; Corrugated Fill'!$C$12)</f>
        <v/>
      </c>
      <c r="E166" s="14">
        <f>(0.24*((C166+0.4*'Cooling Tower &amp; Corrugated Fill'!$C$12))+0.62198*(0.61094*EXP(17.625*(((C166+0.4*'Cooling Tower &amp; Corrugated Fill'!$C$12))-32)/1.8/((((C166+0.4*'Cooling Tower &amp; Corrugated Fill'!$C$12))-32)/1.8+243.04)))/('Cooling Tower &amp; Corrugated Fill'!$C$14-(0.61094*EXP(17.625*(((C166+0.4*'Cooling Tower &amp; Corrugated Fill'!$C$12))-32)/1.8/((((C166+0.4*'Cooling Tower &amp; Corrugated Fill'!$C$12))-32)/1.8+243.04))))*(1061+0.444*((C166+0.4*'Cooling Tower &amp; Corrugated Fill'!$C$12))))-('Merkel Solver'!$C$4+'Cooling Tower &amp; Corrugated Fill'!$C$13*0.4*'Cooling Tower &amp; Corrugated Fill'!$C$12)</f>
        <v/>
      </c>
      <c r="F166" s="14">
        <f>(0.24*((C166+0.6*'Cooling Tower &amp; Corrugated Fill'!$C$12))+0.62198*(0.61094*EXP(17.625*(((C166+0.6*'Cooling Tower &amp; Corrugated Fill'!$C$12))-32)/1.8/((((C166+0.6*'Cooling Tower &amp; Corrugated Fill'!$C$12))-32)/1.8+243.04)))/('Cooling Tower &amp; Corrugated Fill'!$C$14-(0.61094*EXP(17.625*(((C166+0.6*'Cooling Tower &amp; Corrugated Fill'!$C$12))-32)/1.8/((((C166+0.6*'Cooling Tower &amp; Corrugated Fill'!$C$12))-32)/1.8+243.04))))*(1061+0.444*((C166+0.6*'Cooling Tower &amp; Corrugated Fill'!$C$12))))-('Merkel Solver'!$C$4+'Cooling Tower &amp; Corrugated Fill'!$C$13*0.6*'Cooling Tower &amp; Corrugated Fill'!$C$12)</f>
        <v/>
      </c>
      <c r="G166" s="14">
        <f>(0.24*((C166+0.9*'Cooling Tower &amp; Corrugated Fill'!$C$12))+0.62198*(0.61094*EXP(17.625*(((C166+0.9*'Cooling Tower &amp; Corrugated Fill'!$C$12))-32)/1.8/((((C166+0.9*'Cooling Tower &amp; Corrugated Fill'!$C$12))-32)/1.8+243.04)))/('Cooling Tower &amp; Corrugated Fill'!$C$14-(0.61094*EXP(17.625*(((C166+0.9*'Cooling Tower &amp; Corrugated Fill'!$C$12))-32)/1.8/((((C166+0.9*'Cooling Tower &amp; Corrugated Fill'!$C$12))-32)/1.8+243.04))))*(1061+0.444*((C166+0.9*'Cooling Tower &amp; Corrugated Fill'!$C$12))))-('Merkel Solver'!$C$4+'Cooling Tower &amp; Corrugated Fill'!$C$13*0.9*'Cooling Tower &amp; Corrugated Fill'!$C$12)</f>
        <v/>
      </c>
      <c r="H166" s="22">
        <f>IF(MIN(D166:G166)&lt;=0,99999,'Cooling Tower &amp; Corrugated Fill'!$C$12/4*(1/D166+1/E166+1/F166+1/G166))</f>
        <v/>
      </c>
    </row>
    <row r="167">
      <c r="B167" s="30" t="n">
        <v>16.1</v>
      </c>
      <c r="C167" s="12">
        <f>'Dashboard'!$C$9+B167</f>
        <v/>
      </c>
      <c r="D167" s="14">
        <f>(0.24*((C167+0.1*'Cooling Tower &amp; Corrugated Fill'!$C$12))+0.62198*(0.61094*EXP(17.625*(((C167+0.1*'Cooling Tower &amp; Corrugated Fill'!$C$12))-32)/1.8/((((C167+0.1*'Cooling Tower &amp; Corrugated Fill'!$C$12))-32)/1.8+243.04)))/('Cooling Tower &amp; Corrugated Fill'!$C$14-(0.61094*EXP(17.625*(((C167+0.1*'Cooling Tower &amp; Corrugated Fill'!$C$12))-32)/1.8/((((C167+0.1*'Cooling Tower &amp; Corrugated Fill'!$C$12))-32)/1.8+243.04))))*(1061+0.444*((C167+0.1*'Cooling Tower &amp; Corrugated Fill'!$C$12))))-('Merkel Solver'!$C$4+'Cooling Tower &amp; Corrugated Fill'!$C$13*0.1*'Cooling Tower &amp; Corrugated Fill'!$C$12)</f>
        <v/>
      </c>
      <c r="E167" s="14">
        <f>(0.24*((C167+0.4*'Cooling Tower &amp; Corrugated Fill'!$C$12))+0.62198*(0.61094*EXP(17.625*(((C167+0.4*'Cooling Tower &amp; Corrugated Fill'!$C$12))-32)/1.8/((((C167+0.4*'Cooling Tower &amp; Corrugated Fill'!$C$12))-32)/1.8+243.04)))/('Cooling Tower &amp; Corrugated Fill'!$C$14-(0.61094*EXP(17.625*(((C167+0.4*'Cooling Tower &amp; Corrugated Fill'!$C$12))-32)/1.8/((((C167+0.4*'Cooling Tower &amp; Corrugated Fill'!$C$12))-32)/1.8+243.04))))*(1061+0.444*((C167+0.4*'Cooling Tower &amp; Corrugated Fill'!$C$12))))-('Merkel Solver'!$C$4+'Cooling Tower &amp; Corrugated Fill'!$C$13*0.4*'Cooling Tower &amp; Corrugated Fill'!$C$12)</f>
        <v/>
      </c>
      <c r="F167" s="14">
        <f>(0.24*((C167+0.6*'Cooling Tower &amp; Corrugated Fill'!$C$12))+0.62198*(0.61094*EXP(17.625*(((C167+0.6*'Cooling Tower &amp; Corrugated Fill'!$C$12))-32)/1.8/((((C167+0.6*'Cooling Tower &amp; Corrugated Fill'!$C$12))-32)/1.8+243.04)))/('Cooling Tower &amp; Corrugated Fill'!$C$14-(0.61094*EXP(17.625*(((C167+0.6*'Cooling Tower &amp; Corrugated Fill'!$C$12))-32)/1.8/((((C167+0.6*'Cooling Tower &amp; Corrugated Fill'!$C$12))-32)/1.8+243.04))))*(1061+0.444*((C167+0.6*'Cooling Tower &amp; Corrugated Fill'!$C$12))))-('Merkel Solver'!$C$4+'Cooling Tower &amp; Corrugated Fill'!$C$13*0.6*'Cooling Tower &amp; Corrugated Fill'!$C$12)</f>
        <v/>
      </c>
      <c r="G167" s="14">
        <f>(0.24*((C167+0.9*'Cooling Tower &amp; Corrugated Fill'!$C$12))+0.62198*(0.61094*EXP(17.625*(((C167+0.9*'Cooling Tower &amp; Corrugated Fill'!$C$12))-32)/1.8/((((C167+0.9*'Cooling Tower &amp; Corrugated Fill'!$C$12))-32)/1.8+243.04)))/('Cooling Tower &amp; Corrugated Fill'!$C$14-(0.61094*EXP(17.625*(((C167+0.9*'Cooling Tower &amp; Corrugated Fill'!$C$12))-32)/1.8/((((C167+0.9*'Cooling Tower &amp; Corrugated Fill'!$C$12))-32)/1.8+243.04))))*(1061+0.444*((C167+0.9*'Cooling Tower &amp; Corrugated Fill'!$C$12))))-('Merkel Solver'!$C$4+'Cooling Tower &amp; Corrugated Fill'!$C$13*0.9*'Cooling Tower &amp; Corrugated Fill'!$C$12)</f>
        <v/>
      </c>
      <c r="H167" s="22">
        <f>IF(MIN(D167:G167)&lt;=0,99999,'Cooling Tower &amp; Corrugated Fill'!$C$12/4*(1/D167+1/E167+1/F167+1/G167))</f>
        <v/>
      </c>
    </row>
    <row r="168">
      <c r="B168" s="30" t="n">
        <v>16.2</v>
      </c>
      <c r="C168" s="12">
        <f>'Dashboard'!$C$9+B168</f>
        <v/>
      </c>
      <c r="D168" s="14">
        <f>(0.24*((C168+0.1*'Cooling Tower &amp; Corrugated Fill'!$C$12))+0.62198*(0.61094*EXP(17.625*(((C168+0.1*'Cooling Tower &amp; Corrugated Fill'!$C$12))-32)/1.8/((((C168+0.1*'Cooling Tower &amp; Corrugated Fill'!$C$12))-32)/1.8+243.04)))/('Cooling Tower &amp; Corrugated Fill'!$C$14-(0.61094*EXP(17.625*(((C168+0.1*'Cooling Tower &amp; Corrugated Fill'!$C$12))-32)/1.8/((((C168+0.1*'Cooling Tower &amp; Corrugated Fill'!$C$12))-32)/1.8+243.04))))*(1061+0.444*((C168+0.1*'Cooling Tower &amp; Corrugated Fill'!$C$12))))-('Merkel Solver'!$C$4+'Cooling Tower &amp; Corrugated Fill'!$C$13*0.1*'Cooling Tower &amp; Corrugated Fill'!$C$12)</f>
        <v/>
      </c>
      <c r="E168" s="14">
        <f>(0.24*((C168+0.4*'Cooling Tower &amp; Corrugated Fill'!$C$12))+0.62198*(0.61094*EXP(17.625*(((C168+0.4*'Cooling Tower &amp; Corrugated Fill'!$C$12))-32)/1.8/((((C168+0.4*'Cooling Tower &amp; Corrugated Fill'!$C$12))-32)/1.8+243.04)))/('Cooling Tower &amp; Corrugated Fill'!$C$14-(0.61094*EXP(17.625*(((C168+0.4*'Cooling Tower &amp; Corrugated Fill'!$C$12))-32)/1.8/((((C168+0.4*'Cooling Tower &amp; Corrugated Fill'!$C$12))-32)/1.8+243.04))))*(1061+0.444*((C168+0.4*'Cooling Tower &amp; Corrugated Fill'!$C$12))))-('Merkel Solver'!$C$4+'Cooling Tower &amp; Corrugated Fill'!$C$13*0.4*'Cooling Tower &amp; Corrugated Fill'!$C$12)</f>
        <v/>
      </c>
      <c r="F168" s="14">
        <f>(0.24*((C168+0.6*'Cooling Tower &amp; Corrugated Fill'!$C$12))+0.62198*(0.61094*EXP(17.625*(((C168+0.6*'Cooling Tower &amp; Corrugated Fill'!$C$12))-32)/1.8/((((C168+0.6*'Cooling Tower &amp; Corrugated Fill'!$C$12))-32)/1.8+243.04)))/('Cooling Tower &amp; Corrugated Fill'!$C$14-(0.61094*EXP(17.625*(((C168+0.6*'Cooling Tower &amp; Corrugated Fill'!$C$12))-32)/1.8/((((C168+0.6*'Cooling Tower &amp; Corrugated Fill'!$C$12))-32)/1.8+243.04))))*(1061+0.444*((C168+0.6*'Cooling Tower &amp; Corrugated Fill'!$C$12))))-('Merkel Solver'!$C$4+'Cooling Tower &amp; Corrugated Fill'!$C$13*0.6*'Cooling Tower &amp; Corrugated Fill'!$C$12)</f>
        <v/>
      </c>
      <c r="G168" s="14">
        <f>(0.24*((C168+0.9*'Cooling Tower &amp; Corrugated Fill'!$C$12))+0.62198*(0.61094*EXP(17.625*(((C168+0.9*'Cooling Tower &amp; Corrugated Fill'!$C$12))-32)/1.8/((((C168+0.9*'Cooling Tower &amp; Corrugated Fill'!$C$12))-32)/1.8+243.04)))/('Cooling Tower &amp; Corrugated Fill'!$C$14-(0.61094*EXP(17.625*(((C168+0.9*'Cooling Tower &amp; Corrugated Fill'!$C$12))-32)/1.8/((((C168+0.9*'Cooling Tower &amp; Corrugated Fill'!$C$12))-32)/1.8+243.04))))*(1061+0.444*((C168+0.9*'Cooling Tower &amp; Corrugated Fill'!$C$12))))-('Merkel Solver'!$C$4+'Cooling Tower &amp; Corrugated Fill'!$C$13*0.9*'Cooling Tower &amp; Corrugated Fill'!$C$12)</f>
        <v/>
      </c>
      <c r="H168" s="22">
        <f>IF(MIN(D168:G168)&lt;=0,99999,'Cooling Tower &amp; Corrugated Fill'!$C$12/4*(1/D168+1/E168+1/F168+1/G168))</f>
        <v/>
      </c>
    </row>
    <row r="169">
      <c r="B169" s="30" t="n">
        <v>16.3</v>
      </c>
      <c r="C169" s="12">
        <f>'Dashboard'!$C$9+B169</f>
        <v/>
      </c>
      <c r="D169" s="14">
        <f>(0.24*((C169+0.1*'Cooling Tower &amp; Corrugated Fill'!$C$12))+0.62198*(0.61094*EXP(17.625*(((C169+0.1*'Cooling Tower &amp; Corrugated Fill'!$C$12))-32)/1.8/((((C169+0.1*'Cooling Tower &amp; Corrugated Fill'!$C$12))-32)/1.8+243.04)))/('Cooling Tower &amp; Corrugated Fill'!$C$14-(0.61094*EXP(17.625*(((C169+0.1*'Cooling Tower &amp; Corrugated Fill'!$C$12))-32)/1.8/((((C169+0.1*'Cooling Tower &amp; Corrugated Fill'!$C$12))-32)/1.8+243.04))))*(1061+0.444*((C169+0.1*'Cooling Tower &amp; Corrugated Fill'!$C$12))))-('Merkel Solver'!$C$4+'Cooling Tower &amp; Corrugated Fill'!$C$13*0.1*'Cooling Tower &amp; Corrugated Fill'!$C$12)</f>
        <v/>
      </c>
      <c r="E169" s="14">
        <f>(0.24*((C169+0.4*'Cooling Tower &amp; Corrugated Fill'!$C$12))+0.62198*(0.61094*EXP(17.625*(((C169+0.4*'Cooling Tower &amp; Corrugated Fill'!$C$12))-32)/1.8/((((C169+0.4*'Cooling Tower &amp; Corrugated Fill'!$C$12))-32)/1.8+243.04)))/('Cooling Tower &amp; Corrugated Fill'!$C$14-(0.61094*EXP(17.625*(((C169+0.4*'Cooling Tower &amp; Corrugated Fill'!$C$12))-32)/1.8/((((C169+0.4*'Cooling Tower &amp; Corrugated Fill'!$C$12))-32)/1.8+243.04))))*(1061+0.444*((C169+0.4*'Cooling Tower &amp; Corrugated Fill'!$C$12))))-('Merkel Solver'!$C$4+'Cooling Tower &amp; Corrugated Fill'!$C$13*0.4*'Cooling Tower &amp; Corrugated Fill'!$C$12)</f>
        <v/>
      </c>
      <c r="F169" s="14">
        <f>(0.24*((C169+0.6*'Cooling Tower &amp; Corrugated Fill'!$C$12))+0.62198*(0.61094*EXP(17.625*(((C169+0.6*'Cooling Tower &amp; Corrugated Fill'!$C$12))-32)/1.8/((((C169+0.6*'Cooling Tower &amp; Corrugated Fill'!$C$12))-32)/1.8+243.04)))/('Cooling Tower &amp; Corrugated Fill'!$C$14-(0.61094*EXP(17.625*(((C169+0.6*'Cooling Tower &amp; Corrugated Fill'!$C$12))-32)/1.8/((((C169+0.6*'Cooling Tower &amp; Corrugated Fill'!$C$12))-32)/1.8+243.04))))*(1061+0.444*((C169+0.6*'Cooling Tower &amp; Corrugated Fill'!$C$12))))-('Merkel Solver'!$C$4+'Cooling Tower &amp; Corrugated Fill'!$C$13*0.6*'Cooling Tower &amp; Corrugated Fill'!$C$12)</f>
        <v/>
      </c>
      <c r="G169" s="14">
        <f>(0.24*((C169+0.9*'Cooling Tower &amp; Corrugated Fill'!$C$12))+0.62198*(0.61094*EXP(17.625*(((C169+0.9*'Cooling Tower &amp; Corrugated Fill'!$C$12))-32)/1.8/((((C169+0.9*'Cooling Tower &amp; Corrugated Fill'!$C$12))-32)/1.8+243.04)))/('Cooling Tower &amp; Corrugated Fill'!$C$14-(0.61094*EXP(17.625*(((C169+0.9*'Cooling Tower &amp; Corrugated Fill'!$C$12))-32)/1.8/((((C169+0.9*'Cooling Tower &amp; Corrugated Fill'!$C$12))-32)/1.8+243.04))))*(1061+0.444*((C169+0.9*'Cooling Tower &amp; Corrugated Fill'!$C$12))))-('Merkel Solver'!$C$4+'Cooling Tower &amp; Corrugated Fill'!$C$13*0.9*'Cooling Tower &amp; Corrugated Fill'!$C$12)</f>
        <v/>
      </c>
      <c r="H169" s="22">
        <f>IF(MIN(D169:G169)&lt;=0,99999,'Cooling Tower &amp; Corrugated Fill'!$C$12/4*(1/D169+1/E169+1/F169+1/G169))</f>
        <v/>
      </c>
    </row>
    <row r="170">
      <c r="B170" s="30" t="n">
        <v>16.4</v>
      </c>
      <c r="C170" s="12">
        <f>'Dashboard'!$C$9+B170</f>
        <v/>
      </c>
      <c r="D170" s="14">
        <f>(0.24*((C170+0.1*'Cooling Tower &amp; Corrugated Fill'!$C$12))+0.62198*(0.61094*EXP(17.625*(((C170+0.1*'Cooling Tower &amp; Corrugated Fill'!$C$12))-32)/1.8/((((C170+0.1*'Cooling Tower &amp; Corrugated Fill'!$C$12))-32)/1.8+243.04)))/('Cooling Tower &amp; Corrugated Fill'!$C$14-(0.61094*EXP(17.625*(((C170+0.1*'Cooling Tower &amp; Corrugated Fill'!$C$12))-32)/1.8/((((C170+0.1*'Cooling Tower &amp; Corrugated Fill'!$C$12))-32)/1.8+243.04))))*(1061+0.444*((C170+0.1*'Cooling Tower &amp; Corrugated Fill'!$C$12))))-('Merkel Solver'!$C$4+'Cooling Tower &amp; Corrugated Fill'!$C$13*0.1*'Cooling Tower &amp; Corrugated Fill'!$C$12)</f>
        <v/>
      </c>
      <c r="E170" s="14">
        <f>(0.24*((C170+0.4*'Cooling Tower &amp; Corrugated Fill'!$C$12))+0.62198*(0.61094*EXP(17.625*(((C170+0.4*'Cooling Tower &amp; Corrugated Fill'!$C$12))-32)/1.8/((((C170+0.4*'Cooling Tower &amp; Corrugated Fill'!$C$12))-32)/1.8+243.04)))/('Cooling Tower &amp; Corrugated Fill'!$C$14-(0.61094*EXP(17.625*(((C170+0.4*'Cooling Tower &amp; Corrugated Fill'!$C$12))-32)/1.8/((((C170+0.4*'Cooling Tower &amp; Corrugated Fill'!$C$12))-32)/1.8+243.04))))*(1061+0.444*((C170+0.4*'Cooling Tower &amp; Corrugated Fill'!$C$12))))-('Merkel Solver'!$C$4+'Cooling Tower &amp; Corrugated Fill'!$C$13*0.4*'Cooling Tower &amp; Corrugated Fill'!$C$12)</f>
        <v/>
      </c>
      <c r="F170" s="14">
        <f>(0.24*((C170+0.6*'Cooling Tower &amp; Corrugated Fill'!$C$12))+0.62198*(0.61094*EXP(17.625*(((C170+0.6*'Cooling Tower &amp; Corrugated Fill'!$C$12))-32)/1.8/((((C170+0.6*'Cooling Tower &amp; Corrugated Fill'!$C$12))-32)/1.8+243.04)))/('Cooling Tower &amp; Corrugated Fill'!$C$14-(0.61094*EXP(17.625*(((C170+0.6*'Cooling Tower &amp; Corrugated Fill'!$C$12))-32)/1.8/((((C170+0.6*'Cooling Tower &amp; Corrugated Fill'!$C$12))-32)/1.8+243.04))))*(1061+0.444*((C170+0.6*'Cooling Tower &amp; Corrugated Fill'!$C$12))))-('Merkel Solver'!$C$4+'Cooling Tower &amp; Corrugated Fill'!$C$13*0.6*'Cooling Tower &amp; Corrugated Fill'!$C$12)</f>
        <v/>
      </c>
      <c r="G170" s="14">
        <f>(0.24*((C170+0.9*'Cooling Tower &amp; Corrugated Fill'!$C$12))+0.62198*(0.61094*EXP(17.625*(((C170+0.9*'Cooling Tower &amp; Corrugated Fill'!$C$12))-32)/1.8/((((C170+0.9*'Cooling Tower &amp; Corrugated Fill'!$C$12))-32)/1.8+243.04)))/('Cooling Tower &amp; Corrugated Fill'!$C$14-(0.61094*EXP(17.625*(((C170+0.9*'Cooling Tower &amp; Corrugated Fill'!$C$12))-32)/1.8/((((C170+0.9*'Cooling Tower &amp; Corrugated Fill'!$C$12))-32)/1.8+243.04))))*(1061+0.444*((C170+0.9*'Cooling Tower &amp; Corrugated Fill'!$C$12))))-('Merkel Solver'!$C$4+'Cooling Tower &amp; Corrugated Fill'!$C$13*0.9*'Cooling Tower &amp; Corrugated Fill'!$C$12)</f>
        <v/>
      </c>
      <c r="H170" s="22">
        <f>IF(MIN(D170:G170)&lt;=0,99999,'Cooling Tower &amp; Corrugated Fill'!$C$12/4*(1/D170+1/E170+1/F170+1/G170))</f>
        <v/>
      </c>
    </row>
    <row r="171">
      <c r="B171" s="30" t="n">
        <v>16.5</v>
      </c>
      <c r="C171" s="12">
        <f>'Dashboard'!$C$9+B171</f>
        <v/>
      </c>
      <c r="D171" s="14">
        <f>(0.24*((C171+0.1*'Cooling Tower &amp; Corrugated Fill'!$C$12))+0.62198*(0.61094*EXP(17.625*(((C171+0.1*'Cooling Tower &amp; Corrugated Fill'!$C$12))-32)/1.8/((((C171+0.1*'Cooling Tower &amp; Corrugated Fill'!$C$12))-32)/1.8+243.04)))/('Cooling Tower &amp; Corrugated Fill'!$C$14-(0.61094*EXP(17.625*(((C171+0.1*'Cooling Tower &amp; Corrugated Fill'!$C$12))-32)/1.8/((((C171+0.1*'Cooling Tower &amp; Corrugated Fill'!$C$12))-32)/1.8+243.04))))*(1061+0.444*((C171+0.1*'Cooling Tower &amp; Corrugated Fill'!$C$12))))-('Merkel Solver'!$C$4+'Cooling Tower &amp; Corrugated Fill'!$C$13*0.1*'Cooling Tower &amp; Corrugated Fill'!$C$12)</f>
        <v/>
      </c>
      <c r="E171" s="14">
        <f>(0.24*((C171+0.4*'Cooling Tower &amp; Corrugated Fill'!$C$12))+0.62198*(0.61094*EXP(17.625*(((C171+0.4*'Cooling Tower &amp; Corrugated Fill'!$C$12))-32)/1.8/((((C171+0.4*'Cooling Tower &amp; Corrugated Fill'!$C$12))-32)/1.8+243.04)))/('Cooling Tower &amp; Corrugated Fill'!$C$14-(0.61094*EXP(17.625*(((C171+0.4*'Cooling Tower &amp; Corrugated Fill'!$C$12))-32)/1.8/((((C171+0.4*'Cooling Tower &amp; Corrugated Fill'!$C$12))-32)/1.8+243.04))))*(1061+0.444*((C171+0.4*'Cooling Tower &amp; Corrugated Fill'!$C$12))))-('Merkel Solver'!$C$4+'Cooling Tower &amp; Corrugated Fill'!$C$13*0.4*'Cooling Tower &amp; Corrugated Fill'!$C$12)</f>
        <v/>
      </c>
      <c r="F171" s="14">
        <f>(0.24*((C171+0.6*'Cooling Tower &amp; Corrugated Fill'!$C$12))+0.62198*(0.61094*EXP(17.625*(((C171+0.6*'Cooling Tower &amp; Corrugated Fill'!$C$12))-32)/1.8/((((C171+0.6*'Cooling Tower &amp; Corrugated Fill'!$C$12))-32)/1.8+243.04)))/('Cooling Tower &amp; Corrugated Fill'!$C$14-(0.61094*EXP(17.625*(((C171+0.6*'Cooling Tower &amp; Corrugated Fill'!$C$12))-32)/1.8/((((C171+0.6*'Cooling Tower &amp; Corrugated Fill'!$C$12))-32)/1.8+243.04))))*(1061+0.444*((C171+0.6*'Cooling Tower &amp; Corrugated Fill'!$C$12))))-('Merkel Solver'!$C$4+'Cooling Tower &amp; Corrugated Fill'!$C$13*0.6*'Cooling Tower &amp; Corrugated Fill'!$C$12)</f>
        <v/>
      </c>
      <c r="G171" s="14">
        <f>(0.24*((C171+0.9*'Cooling Tower &amp; Corrugated Fill'!$C$12))+0.62198*(0.61094*EXP(17.625*(((C171+0.9*'Cooling Tower &amp; Corrugated Fill'!$C$12))-32)/1.8/((((C171+0.9*'Cooling Tower &amp; Corrugated Fill'!$C$12))-32)/1.8+243.04)))/('Cooling Tower &amp; Corrugated Fill'!$C$14-(0.61094*EXP(17.625*(((C171+0.9*'Cooling Tower &amp; Corrugated Fill'!$C$12))-32)/1.8/((((C171+0.9*'Cooling Tower &amp; Corrugated Fill'!$C$12))-32)/1.8+243.04))))*(1061+0.444*((C171+0.9*'Cooling Tower &amp; Corrugated Fill'!$C$12))))-('Merkel Solver'!$C$4+'Cooling Tower &amp; Corrugated Fill'!$C$13*0.9*'Cooling Tower &amp; Corrugated Fill'!$C$12)</f>
        <v/>
      </c>
      <c r="H171" s="22">
        <f>IF(MIN(D171:G171)&lt;=0,99999,'Cooling Tower &amp; Corrugated Fill'!$C$12/4*(1/D171+1/E171+1/F171+1/G171))</f>
        <v/>
      </c>
    </row>
    <row r="172">
      <c r="B172" s="30" t="n">
        <v>16.6</v>
      </c>
      <c r="C172" s="12">
        <f>'Dashboard'!$C$9+B172</f>
        <v/>
      </c>
      <c r="D172" s="14">
        <f>(0.24*((C172+0.1*'Cooling Tower &amp; Corrugated Fill'!$C$12))+0.62198*(0.61094*EXP(17.625*(((C172+0.1*'Cooling Tower &amp; Corrugated Fill'!$C$12))-32)/1.8/((((C172+0.1*'Cooling Tower &amp; Corrugated Fill'!$C$12))-32)/1.8+243.04)))/('Cooling Tower &amp; Corrugated Fill'!$C$14-(0.61094*EXP(17.625*(((C172+0.1*'Cooling Tower &amp; Corrugated Fill'!$C$12))-32)/1.8/((((C172+0.1*'Cooling Tower &amp; Corrugated Fill'!$C$12))-32)/1.8+243.04))))*(1061+0.444*((C172+0.1*'Cooling Tower &amp; Corrugated Fill'!$C$12))))-('Merkel Solver'!$C$4+'Cooling Tower &amp; Corrugated Fill'!$C$13*0.1*'Cooling Tower &amp; Corrugated Fill'!$C$12)</f>
        <v/>
      </c>
      <c r="E172" s="14">
        <f>(0.24*((C172+0.4*'Cooling Tower &amp; Corrugated Fill'!$C$12))+0.62198*(0.61094*EXP(17.625*(((C172+0.4*'Cooling Tower &amp; Corrugated Fill'!$C$12))-32)/1.8/((((C172+0.4*'Cooling Tower &amp; Corrugated Fill'!$C$12))-32)/1.8+243.04)))/('Cooling Tower &amp; Corrugated Fill'!$C$14-(0.61094*EXP(17.625*(((C172+0.4*'Cooling Tower &amp; Corrugated Fill'!$C$12))-32)/1.8/((((C172+0.4*'Cooling Tower &amp; Corrugated Fill'!$C$12))-32)/1.8+243.04))))*(1061+0.444*((C172+0.4*'Cooling Tower &amp; Corrugated Fill'!$C$12))))-('Merkel Solver'!$C$4+'Cooling Tower &amp; Corrugated Fill'!$C$13*0.4*'Cooling Tower &amp; Corrugated Fill'!$C$12)</f>
        <v/>
      </c>
      <c r="F172" s="14">
        <f>(0.24*((C172+0.6*'Cooling Tower &amp; Corrugated Fill'!$C$12))+0.62198*(0.61094*EXP(17.625*(((C172+0.6*'Cooling Tower &amp; Corrugated Fill'!$C$12))-32)/1.8/((((C172+0.6*'Cooling Tower &amp; Corrugated Fill'!$C$12))-32)/1.8+243.04)))/('Cooling Tower &amp; Corrugated Fill'!$C$14-(0.61094*EXP(17.625*(((C172+0.6*'Cooling Tower &amp; Corrugated Fill'!$C$12))-32)/1.8/((((C172+0.6*'Cooling Tower &amp; Corrugated Fill'!$C$12))-32)/1.8+243.04))))*(1061+0.444*((C172+0.6*'Cooling Tower &amp; Corrugated Fill'!$C$12))))-('Merkel Solver'!$C$4+'Cooling Tower &amp; Corrugated Fill'!$C$13*0.6*'Cooling Tower &amp; Corrugated Fill'!$C$12)</f>
        <v/>
      </c>
      <c r="G172" s="14">
        <f>(0.24*((C172+0.9*'Cooling Tower &amp; Corrugated Fill'!$C$12))+0.62198*(0.61094*EXP(17.625*(((C172+0.9*'Cooling Tower &amp; Corrugated Fill'!$C$12))-32)/1.8/((((C172+0.9*'Cooling Tower &amp; Corrugated Fill'!$C$12))-32)/1.8+243.04)))/('Cooling Tower &amp; Corrugated Fill'!$C$14-(0.61094*EXP(17.625*(((C172+0.9*'Cooling Tower &amp; Corrugated Fill'!$C$12))-32)/1.8/((((C172+0.9*'Cooling Tower &amp; Corrugated Fill'!$C$12))-32)/1.8+243.04))))*(1061+0.444*((C172+0.9*'Cooling Tower &amp; Corrugated Fill'!$C$12))))-('Merkel Solver'!$C$4+'Cooling Tower &amp; Corrugated Fill'!$C$13*0.9*'Cooling Tower &amp; Corrugated Fill'!$C$12)</f>
        <v/>
      </c>
      <c r="H172" s="22">
        <f>IF(MIN(D172:G172)&lt;=0,99999,'Cooling Tower &amp; Corrugated Fill'!$C$12/4*(1/D172+1/E172+1/F172+1/G172))</f>
        <v/>
      </c>
    </row>
    <row r="173">
      <c r="B173" s="30" t="n">
        <v>16.7</v>
      </c>
      <c r="C173" s="12">
        <f>'Dashboard'!$C$9+B173</f>
        <v/>
      </c>
      <c r="D173" s="14">
        <f>(0.24*((C173+0.1*'Cooling Tower &amp; Corrugated Fill'!$C$12))+0.62198*(0.61094*EXP(17.625*(((C173+0.1*'Cooling Tower &amp; Corrugated Fill'!$C$12))-32)/1.8/((((C173+0.1*'Cooling Tower &amp; Corrugated Fill'!$C$12))-32)/1.8+243.04)))/('Cooling Tower &amp; Corrugated Fill'!$C$14-(0.61094*EXP(17.625*(((C173+0.1*'Cooling Tower &amp; Corrugated Fill'!$C$12))-32)/1.8/((((C173+0.1*'Cooling Tower &amp; Corrugated Fill'!$C$12))-32)/1.8+243.04))))*(1061+0.444*((C173+0.1*'Cooling Tower &amp; Corrugated Fill'!$C$12))))-('Merkel Solver'!$C$4+'Cooling Tower &amp; Corrugated Fill'!$C$13*0.1*'Cooling Tower &amp; Corrugated Fill'!$C$12)</f>
        <v/>
      </c>
      <c r="E173" s="14">
        <f>(0.24*((C173+0.4*'Cooling Tower &amp; Corrugated Fill'!$C$12))+0.62198*(0.61094*EXP(17.625*(((C173+0.4*'Cooling Tower &amp; Corrugated Fill'!$C$12))-32)/1.8/((((C173+0.4*'Cooling Tower &amp; Corrugated Fill'!$C$12))-32)/1.8+243.04)))/('Cooling Tower &amp; Corrugated Fill'!$C$14-(0.61094*EXP(17.625*(((C173+0.4*'Cooling Tower &amp; Corrugated Fill'!$C$12))-32)/1.8/((((C173+0.4*'Cooling Tower &amp; Corrugated Fill'!$C$12))-32)/1.8+243.04))))*(1061+0.444*((C173+0.4*'Cooling Tower &amp; Corrugated Fill'!$C$12))))-('Merkel Solver'!$C$4+'Cooling Tower &amp; Corrugated Fill'!$C$13*0.4*'Cooling Tower &amp; Corrugated Fill'!$C$12)</f>
        <v/>
      </c>
      <c r="F173" s="14">
        <f>(0.24*((C173+0.6*'Cooling Tower &amp; Corrugated Fill'!$C$12))+0.62198*(0.61094*EXP(17.625*(((C173+0.6*'Cooling Tower &amp; Corrugated Fill'!$C$12))-32)/1.8/((((C173+0.6*'Cooling Tower &amp; Corrugated Fill'!$C$12))-32)/1.8+243.04)))/('Cooling Tower &amp; Corrugated Fill'!$C$14-(0.61094*EXP(17.625*(((C173+0.6*'Cooling Tower &amp; Corrugated Fill'!$C$12))-32)/1.8/((((C173+0.6*'Cooling Tower &amp; Corrugated Fill'!$C$12))-32)/1.8+243.04))))*(1061+0.444*((C173+0.6*'Cooling Tower &amp; Corrugated Fill'!$C$12))))-('Merkel Solver'!$C$4+'Cooling Tower &amp; Corrugated Fill'!$C$13*0.6*'Cooling Tower &amp; Corrugated Fill'!$C$12)</f>
        <v/>
      </c>
      <c r="G173" s="14">
        <f>(0.24*((C173+0.9*'Cooling Tower &amp; Corrugated Fill'!$C$12))+0.62198*(0.61094*EXP(17.625*(((C173+0.9*'Cooling Tower &amp; Corrugated Fill'!$C$12))-32)/1.8/((((C173+0.9*'Cooling Tower &amp; Corrugated Fill'!$C$12))-32)/1.8+243.04)))/('Cooling Tower &amp; Corrugated Fill'!$C$14-(0.61094*EXP(17.625*(((C173+0.9*'Cooling Tower &amp; Corrugated Fill'!$C$12))-32)/1.8/((((C173+0.9*'Cooling Tower &amp; Corrugated Fill'!$C$12))-32)/1.8+243.04))))*(1061+0.444*((C173+0.9*'Cooling Tower &amp; Corrugated Fill'!$C$12))))-('Merkel Solver'!$C$4+'Cooling Tower &amp; Corrugated Fill'!$C$13*0.9*'Cooling Tower &amp; Corrugated Fill'!$C$12)</f>
        <v/>
      </c>
      <c r="H173" s="22">
        <f>IF(MIN(D173:G173)&lt;=0,99999,'Cooling Tower &amp; Corrugated Fill'!$C$12/4*(1/D173+1/E173+1/F173+1/G173))</f>
        <v/>
      </c>
    </row>
    <row r="174">
      <c r="B174" s="30" t="n">
        <v>16.8</v>
      </c>
      <c r="C174" s="12">
        <f>'Dashboard'!$C$9+B174</f>
        <v/>
      </c>
      <c r="D174" s="14">
        <f>(0.24*((C174+0.1*'Cooling Tower &amp; Corrugated Fill'!$C$12))+0.62198*(0.61094*EXP(17.625*(((C174+0.1*'Cooling Tower &amp; Corrugated Fill'!$C$12))-32)/1.8/((((C174+0.1*'Cooling Tower &amp; Corrugated Fill'!$C$12))-32)/1.8+243.04)))/('Cooling Tower &amp; Corrugated Fill'!$C$14-(0.61094*EXP(17.625*(((C174+0.1*'Cooling Tower &amp; Corrugated Fill'!$C$12))-32)/1.8/((((C174+0.1*'Cooling Tower &amp; Corrugated Fill'!$C$12))-32)/1.8+243.04))))*(1061+0.444*((C174+0.1*'Cooling Tower &amp; Corrugated Fill'!$C$12))))-('Merkel Solver'!$C$4+'Cooling Tower &amp; Corrugated Fill'!$C$13*0.1*'Cooling Tower &amp; Corrugated Fill'!$C$12)</f>
        <v/>
      </c>
      <c r="E174" s="14">
        <f>(0.24*((C174+0.4*'Cooling Tower &amp; Corrugated Fill'!$C$12))+0.62198*(0.61094*EXP(17.625*(((C174+0.4*'Cooling Tower &amp; Corrugated Fill'!$C$12))-32)/1.8/((((C174+0.4*'Cooling Tower &amp; Corrugated Fill'!$C$12))-32)/1.8+243.04)))/('Cooling Tower &amp; Corrugated Fill'!$C$14-(0.61094*EXP(17.625*(((C174+0.4*'Cooling Tower &amp; Corrugated Fill'!$C$12))-32)/1.8/((((C174+0.4*'Cooling Tower &amp; Corrugated Fill'!$C$12))-32)/1.8+243.04))))*(1061+0.444*((C174+0.4*'Cooling Tower &amp; Corrugated Fill'!$C$12))))-('Merkel Solver'!$C$4+'Cooling Tower &amp; Corrugated Fill'!$C$13*0.4*'Cooling Tower &amp; Corrugated Fill'!$C$12)</f>
        <v/>
      </c>
      <c r="F174" s="14">
        <f>(0.24*((C174+0.6*'Cooling Tower &amp; Corrugated Fill'!$C$12))+0.62198*(0.61094*EXP(17.625*(((C174+0.6*'Cooling Tower &amp; Corrugated Fill'!$C$12))-32)/1.8/((((C174+0.6*'Cooling Tower &amp; Corrugated Fill'!$C$12))-32)/1.8+243.04)))/('Cooling Tower &amp; Corrugated Fill'!$C$14-(0.61094*EXP(17.625*(((C174+0.6*'Cooling Tower &amp; Corrugated Fill'!$C$12))-32)/1.8/((((C174+0.6*'Cooling Tower &amp; Corrugated Fill'!$C$12))-32)/1.8+243.04))))*(1061+0.444*((C174+0.6*'Cooling Tower &amp; Corrugated Fill'!$C$12))))-('Merkel Solver'!$C$4+'Cooling Tower &amp; Corrugated Fill'!$C$13*0.6*'Cooling Tower &amp; Corrugated Fill'!$C$12)</f>
        <v/>
      </c>
      <c r="G174" s="14">
        <f>(0.24*((C174+0.9*'Cooling Tower &amp; Corrugated Fill'!$C$12))+0.62198*(0.61094*EXP(17.625*(((C174+0.9*'Cooling Tower &amp; Corrugated Fill'!$C$12))-32)/1.8/((((C174+0.9*'Cooling Tower &amp; Corrugated Fill'!$C$12))-32)/1.8+243.04)))/('Cooling Tower &amp; Corrugated Fill'!$C$14-(0.61094*EXP(17.625*(((C174+0.9*'Cooling Tower &amp; Corrugated Fill'!$C$12))-32)/1.8/((((C174+0.9*'Cooling Tower &amp; Corrugated Fill'!$C$12))-32)/1.8+243.04))))*(1061+0.444*((C174+0.9*'Cooling Tower &amp; Corrugated Fill'!$C$12))))-('Merkel Solver'!$C$4+'Cooling Tower &amp; Corrugated Fill'!$C$13*0.9*'Cooling Tower &amp; Corrugated Fill'!$C$12)</f>
        <v/>
      </c>
      <c r="H174" s="22">
        <f>IF(MIN(D174:G174)&lt;=0,99999,'Cooling Tower &amp; Corrugated Fill'!$C$12/4*(1/D174+1/E174+1/F174+1/G174))</f>
        <v/>
      </c>
    </row>
    <row r="175">
      <c r="B175" s="30" t="n">
        <v>16.9</v>
      </c>
      <c r="C175" s="12">
        <f>'Dashboard'!$C$9+B175</f>
        <v/>
      </c>
      <c r="D175" s="14">
        <f>(0.24*((C175+0.1*'Cooling Tower &amp; Corrugated Fill'!$C$12))+0.62198*(0.61094*EXP(17.625*(((C175+0.1*'Cooling Tower &amp; Corrugated Fill'!$C$12))-32)/1.8/((((C175+0.1*'Cooling Tower &amp; Corrugated Fill'!$C$12))-32)/1.8+243.04)))/('Cooling Tower &amp; Corrugated Fill'!$C$14-(0.61094*EXP(17.625*(((C175+0.1*'Cooling Tower &amp; Corrugated Fill'!$C$12))-32)/1.8/((((C175+0.1*'Cooling Tower &amp; Corrugated Fill'!$C$12))-32)/1.8+243.04))))*(1061+0.444*((C175+0.1*'Cooling Tower &amp; Corrugated Fill'!$C$12))))-('Merkel Solver'!$C$4+'Cooling Tower &amp; Corrugated Fill'!$C$13*0.1*'Cooling Tower &amp; Corrugated Fill'!$C$12)</f>
        <v/>
      </c>
      <c r="E175" s="14">
        <f>(0.24*((C175+0.4*'Cooling Tower &amp; Corrugated Fill'!$C$12))+0.62198*(0.61094*EXP(17.625*(((C175+0.4*'Cooling Tower &amp; Corrugated Fill'!$C$12))-32)/1.8/((((C175+0.4*'Cooling Tower &amp; Corrugated Fill'!$C$12))-32)/1.8+243.04)))/('Cooling Tower &amp; Corrugated Fill'!$C$14-(0.61094*EXP(17.625*(((C175+0.4*'Cooling Tower &amp; Corrugated Fill'!$C$12))-32)/1.8/((((C175+0.4*'Cooling Tower &amp; Corrugated Fill'!$C$12))-32)/1.8+243.04))))*(1061+0.444*((C175+0.4*'Cooling Tower &amp; Corrugated Fill'!$C$12))))-('Merkel Solver'!$C$4+'Cooling Tower &amp; Corrugated Fill'!$C$13*0.4*'Cooling Tower &amp; Corrugated Fill'!$C$12)</f>
        <v/>
      </c>
      <c r="F175" s="14">
        <f>(0.24*((C175+0.6*'Cooling Tower &amp; Corrugated Fill'!$C$12))+0.62198*(0.61094*EXP(17.625*(((C175+0.6*'Cooling Tower &amp; Corrugated Fill'!$C$12))-32)/1.8/((((C175+0.6*'Cooling Tower &amp; Corrugated Fill'!$C$12))-32)/1.8+243.04)))/('Cooling Tower &amp; Corrugated Fill'!$C$14-(0.61094*EXP(17.625*(((C175+0.6*'Cooling Tower &amp; Corrugated Fill'!$C$12))-32)/1.8/((((C175+0.6*'Cooling Tower &amp; Corrugated Fill'!$C$12))-32)/1.8+243.04))))*(1061+0.444*((C175+0.6*'Cooling Tower &amp; Corrugated Fill'!$C$12))))-('Merkel Solver'!$C$4+'Cooling Tower &amp; Corrugated Fill'!$C$13*0.6*'Cooling Tower &amp; Corrugated Fill'!$C$12)</f>
        <v/>
      </c>
      <c r="G175" s="14">
        <f>(0.24*((C175+0.9*'Cooling Tower &amp; Corrugated Fill'!$C$12))+0.62198*(0.61094*EXP(17.625*(((C175+0.9*'Cooling Tower &amp; Corrugated Fill'!$C$12))-32)/1.8/((((C175+0.9*'Cooling Tower &amp; Corrugated Fill'!$C$12))-32)/1.8+243.04)))/('Cooling Tower &amp; Corrugated Fill'!$C$14-(0.61094*EXP(17.625*(((C175+0.9*'Cooling Tower &amp; Corrugated Fill'!$C$12))-32)/1.8/((((C175+0.9*'Cooling Tower &amp; Corrugated Fill'!$C$12))-32)/1.8+243.04))))*(1061+0.444*((C175+0.9*'Cooling Tower &amp; Corrugated Fill'!$C$12))))-('Merkel Solver'!$C$4+'Cooling Tower &amp; Corrugated Fill'!$C$13*0.9*'Cooling Tower &amp; Corrugated Fill'!$C$12)</f>
        <v/>
      </c>
      <c r="H175" s="22">
        <f>IF(MIN(D175:G175)&lt;=0,99999,'Cooling Tower &amp; Corrugated Fill'!$C$12/4*(1/D175+1/E175+1/F175+1/G175))</f>
        <v/>
      </c>
    </row>
    <row r="176">
      <c r="B176" s="30" t="n">
        <v>17</v>
      </c>
      <c r="C176" s="12">
        <f>'Dashboard'!$C$9+B176</f>
        <v/>
      </c>
      <c r="D176" s="14">
        <f>(0.24*((C176+0.1*'Cooling Tower &amp; Corrugated Fill'!$C$12))+0.62198*(0.61094*EXP(17.625*(((C176+0.1*'Cooling Tower &amp; Corrugated Fill'!$C$12))-32)/1.8/((((C176+0.1*'Cooling Tower &amp; Corrugated Fill'!$C$12))-32)/1.8+243.04)))/('Cooling Tower &amp; Corrugated Fill'!$C$14-(0.61094*EXP(17.625*(((C176+0.1*'Cooling Tower &amp; Corrugated Fill'!$C$12))-32)/1.8/((((C176+0.1*'Cooling Tower &amp; Corrugated Fill'!$C$12))-32)/1.8+243.04))))*(1061+0.444*((C176+0.1*'Cooling Tower &amp; Corrugated Fill'!$C$12))))-('Merkel Solver'!$C$4+'Cooling Tower &amp; Corrugated Fill'!$C$13*0.1*'Cooling Tower &amp; Corrugated Fill'!$C$12)</f>
        <v/>
      </c>
      <c r="E176" s="14">
        <f>(0.24*((C176+0.4*'Cooling Tower &amp; Corrugated Fill'!$C$12))+0.62198*(0.61094*EXP(17.625*(((C176+0.4*'Cooling Tower &amp; Corrugated Fill'!$C$12))-32)/1.8/((((C176+0.4*'Cooling Tower &amp; Corrugated Fill'!$C$12))-32)/1.8+243.04)))/('Cooling Tower &amp; Corrugated Fill'!$C$14-(0.61094*EXP(17.625*(((C176+0.4*'Cooling Tower &amp; Corrugated Fill'!$C$12))-32)/1.8/((((C176+0.4*'Cooling Tower &amp; Corrugated Fill'!$C$12))-32)/1.8+243.04))))*(1061+0.444*((C176+0.4*'Cooling Tower &amp; Corrugated Fill'!$C$12))))-('Merkel Solver'!$C$4+'Cooling Tower &amp; Corrugated Fill'!$C$13*0.4*'Cooling Tower &amp; Corrugated Fill'!$C$12)</f>
        <v/>
      </c>
      <c r="F176" s="14">
        <f>(0.24*((C176+0.6*'Cooling Tower &amp; Corrugated Fill'!$C$12))+0.62198*(0.61094*EXP(17.625*(((C176+0.6*'Cooling Tower &amp; Corrugated Fill'!$C$12))-32)/1.8/((((C176+0.6*'Cooling Tower &amp; Corrugated Fill'!$C$12))-32)/1.8+243.04)))/('Cooling Tower &amp; Corrugated Fill'!$C$14-(0.61094*EXP(17.625*(((C176+0.6*'Cooling Tower &amp; Corrugated Fill'!$C$12))-32)/1.8/((((C176+0.6*'Cooling Tower &amp; Corrugated Fill'!$C$12))-32)/1.8+243.04))))*(1061+0.444*((C176+0.6*'Cooling Tower &amp; Corrugated Fill'!$C$12))))-('Merkel Solver'!$C$4+'Cooling Tower &amp; Corrugated Fill'!$C$13*0.6*'Cooling Tower &amp; Corrugated Fill'!$C$12)</f>
        <v/>
      </c>
      <c r="G176" s="14">
        <f>(0.24*((C176+0.9*'Cooling Tower &amp; Corrugated Fill'!$C$12))+0.62198*(0.61094*EXP(17.625*(((C176+0.9*'Cooling Tower &amp; Corrugated Fill'!$C$12))-32)/1.8/((((C176+0.9*'Cooling Tower &amp; Corrugated Fill'!$C$12))-32)/1.8+243.04)))/('Cooling Tower &amp; Corrugated Fill'!$C$14-(0.61094*EXP(17.625*(((C176+0.9*'Cooling Tower &amp; Corrugated Fill'!$C$12))-32)/1.8/((((C176+0.9*'Cooling Tower &amp; Corrugated Fill'!$C$12))-32)/1.8+243.04))))*(1061+0.444*((C176+0.9*'Cooling Tower &amp; Corrugated Fill'!$C$12))))-('Merkel Solver'!$C$4+'Cooling Tower &amp; Corrugated Fill'!$C$13*0.9*'Cooling Tower &amp; Corrugated Fill'!$C$12)</f>
        <v/>
      </c>
      <c r="H176" s="22">
        <f>IF(MIN(D176:G176)&lt;=0,99999,'Cooling Tower &amp; Corrugated Fill'!$C$12/4*(1/D176+1/E176+1/F176+1/G176))</f>
        <v/>
      </c>
    </row>
    <row r="177">
      <c r="B177" s="30" t="n">
        <v>17.1</v>
      </c>
      <c r="C177" s="12">
        <f>'Dashboard'!$C$9+B177</f>
        <v/>
      </c>
      <c r="D177" s="14">
        <f>(0.24*((C177+0.1*'Cooling Tower &amp; Corrugated Fill'!$C$12))+0.62198*(0.61094*EXP(17.625*(((C177+0.1*'Cooling Tower &amp; Corrugated Fill'!$C$12))-32)/1.8/((((C177+0.1*'Cooling Tower &amp; Corrugated Fill'!$C$12))-32)/1.8+243.04)))/('Cooling Tower &amp; Corrugated Fill'!$C$14-(0.61094*EXP(17.625*(((C177+0.1*'Cooling Tower &amp; Corrugated Fill'!$C$12))-32)/1.8/((((C177+0.1*'Cooling Tower &amp; Corrugated Fill'!$C$12))-32)/1.8+243.04))))*(1061+0.444*((C177+0.1*'Cooling Tower &amp; Corrugated Fill'!$C$12))))-('Merkel Solver'!$C$4+'Cooling Tower &amp; Corrugated Fill'!$C$13*0.1*'Cooling Tower &amp; Corrugated Fill'!$C$12)</f>
        <v/>
      </c>
      <c r="E177" s="14">
        <f>(0.24*((C177+0.4*'Cooling Tower &amp; Corrugated Fill'!$C$12))+0.62198*(0.61094*EXP(17.625*(((C177+0.4*'Cooling Tower &amp; Corrugated Fill'!$C$12))-32)/1.8/((((C177+0.4*'Cooling Tower &amp; Corrugated Fill'!$C$12))-32)/1.8+243.04)))/('Cooling Tower &amp; Corrugated Fill'!$C$14-(0.61094*EXP(17.625*(((C177+0.4*'Cooling Tower &amp; Corrugated Fill'!$C$12))-32)/1.8/((((C177+0.4*'Cooling Tower &amp; Corrugated Fill'!$C$12))-32)/1.8+243.04))))*(1061+0.444*((C177+0.4*'Cooling Tower &amp; Corrugated Fill'!$C$12))))-('Merkel Solver'!$C$4+'Cooling Tower &amp; Corrugated Fill'!$C$13*0.4*'Cooling Tower &amp; Corrugated Fill'!$C$12)</f>
        <v/>
      </c>
      <c r="F177" s="14">
        <f>(0.24*((C177+0.6*'Cooling Tower &amp; Corrugated Fill'!$C$12))+0.62198*(0.61094*EXP(17.625*(((C177+0.6*'Cooling Tower &amp; Corrugated Fill'!$C$12))-32)/1.8/((((C177+0.6*'Cooling Tower &amp; Corrugated Fill'!$C$12))-32)/1.8+243.04)))/('Cooling Tower &amp; Corrugated Fill'!$C$14-(0.61094*EXP(17.625*(((C177+0.6*'Cooling Tower &amp; Corrugated Fill'!$C$12))-32)/1.8/((((C177+0.6*'Cooling Tower &amp; Corrugated Fill'!$C$12))-32)/1.8+243.04))))*(1061+0.444*((C177+0.6*'Cooling Tower &amp; Corrugated Fill'!$C$12))))-('Merkel Solver'!$C$4+'Cooling Tower &amp; Corrugated Fill'!$C$13*0.6*'Cooling Tower &amp; Corrugated Fill'!$C$12)</f>
        <v/>
      </c>
      <c r="G177" s="14">
        <f>(0.24*((C177+0.9*'Cooling Tower &amp; Corrugated Fill'!$C$12))+0.62198*(0.61094*EXP(17.625*(((C177+0.9*'Cooling Tower &amp; Corrugated Fill'!$C$12))-32)/1.8/((((C177+0.9*'Cooling Tower &amp; Corrugated Fill'!$C$12))-32)/1.8+243.04)))/('Cooling Tower &amp; Corrugated Fill'!$C$14-(0.61094*EXP(17.625*(((C177+0.9*'Cooling Tower &amp; Corrugated Fill'!$C$12))-32)/1.8/((((C177+0.9*'Cooling Tower &amp; Corrugated Fill'!$C$12))-32)/1.8+243.04))))*(1061+0.444*((C177+0.9*'Cooling Tower &amp; Corrugated Fill'!$C$12))))-('Merkel Solver'!$C$4+'Cooling Tower &amp; Corrugated Fill'!$C$13*0.9*'Cooling Tower &amp; Corrugated Fill'!$C$12)</f>
        <v/>
      </c>
      <c r="H177" s="22">
        <f>IF(MIN(D177:G177)&lt;=0,99999,'Cooling Tower &amp; Corrugated Fill'!$C$12/4*(1/D177+1/E177+1/F177+1/G177))</f>
        <v/>
      </c>
    </row>
    <row r="178">
      <c r="B178" s="30" t="n">
        <v>17.2</v>
      </c>
      <c r="C178" s="12">
        <f>'Dashboard'!$C$9+B178</f>
        <v/>
      </c>
      <c r="D178" s="14">
        <f>(0.24*((C178+0.1*'Cooling Tower &amp; Corrugated Fill'!$C$12))+0.62198*(0.61094*EXP(17.625*(((C178+0.1*'Cooling Tower &amp; Corrugated Fill'!$C$12))-32)/1.8/((((C178+0.1*'Cooling Tower &amp; Corrugated Fill'!$C$12))-32)/1.8+243.04)))/('Cooling Tower &amp; Corrugated Fill'!$C$14-(0.61094*EXP(17.625*(((C178+0.1*'Cooling Tower &amp; Corrugated Fill'!$C$12))-32)/1.8/((((C178+0.1*'Cooling Tower &amp; Corrugated Fill'!$C$12))-32)/1.8+243.04))))*(1061+0.444*((C178+0.1*'Cooling Tower &amp; Corrugated Fill'!$C$12))))-('Merkel Solver'!$C$4+'Cooling Tower &amp; Corrugated Fill'!$C$13*0.1*'Cooling Tower &amp; Corrugated Fill'!$C$12)</f>
        <v/>
      </c>
      <c r="E178" s="14">
        <f>(0.24*((C178+0.4*'Cooling Tower &amp; Corrugated Fill'!$C$12))+0.62198*(0.61094*EXP(17.625*(((C178+0.4*'Cooling Tower &amp; Corrugated Fill'!$C$12))-32)/1.8/((((C178+0.4*'Cooling Tower &amp; Corrugated Fill'!$C$12))-32)/1.8+243.04)))/('Cooling Tower &amp; Corrugated Fill'!$C$14-(0.61094*EXP(17.625*(((C178+0.4*'Cooling Tower &amp; Corrugated Fill'!$C$12))-32)/1.8/((((C178+0.4*'Cooling Tower &amp; Corrugated Fill'!$C$12))-32)/1.8+243.04))))*(1061+0.444*((C178+0.4*'Cooling Tower &amp; Corrugated Fill'!$C$12))))-('Merkel Solver'!$C$4+'Cooling Tower &amp; Corrugated Fill'!$C$13*0.4*'Cooling Tower &amp; Corrugated Fill'!$C$12)</f>
        <v/>
      </c>
      <c r="F178" s="14">
        <f>(0.24*((C178+0.6*'Cooling Tower &amp; Corrugated Fill'!$C$12))+0.62198*(0.61094*EXP(17.625*(((C178+0.6*'Cooling Tower &amp; Corrugated Fill'!$C$12))-32)/1.8/((((C178+0.6*'Cooling Tower &amp; Corrugated Fill'!$C$12))-32)/1.8+243.04)))/('Cooling Tower &amp; Corrugated Fill'!$C$14-(0.61094*EXP(17.625*(((C178+0.6*'Cooling Tower &amp; Corrugated Fill'!$C$12))-32)/1.8/((((C178+0.6*'Cooling Tower &amp; Corrugated Fill'!$C$12))-32)/1.8+243.04))))*(1061+0.444*((C178+0.6*'Cooling Tower &amp; Corrugated Fill'!$C$12))))-('Merkel Solver'!$C$4+'Cooling Tower &amp; Corrugated Fill'!$C$13*0.6*'Cooling Tower &amp; Corrugated Fill'!$C$12)</f>
        <v/>
      </c>
      <c r="G178" s="14">
        <f>(0.24*((C178+0.9*'Cooling Tower &amp; Corrugated Fill'!$C$12))+0.62198*(0.61094*EXP(17.625*(((C178+0.9*'Cooling Tower &amp; Corrugated Fill'!$C$12))-32)/1.8/((((C178+0.9*'Cooling Tower &amp; Corrugated Fill'!$C$12))-32)/1.8+243.04)))/('Cooling Tower &amp; Corrugated Fill'!$C$14-(0.61094*EXP(17.625*(((C178+0.9*'Cooling Tower &amp; Corrugated Fill'!$C$12))-32)/1.8/((((C178+0.9*'Cooling Tower &amp; Corrugated Fill'!$C$12))-32)/1.8+243.04))))*(1061+0.444*((C178+0.9*'Cooling Tower &amp; Corrugated Fill'!$C$12))))-('Merkel Solver'!$C$4+'Cooling Tower &amp; Corrugated Fill'!$C$13*0.9*'Cooling Tower &amp; Corrugated Fill'!$C$12)</f>
        <v/>
      </c>
      <c r="H178" s="22">
        <f>IF(MIN(D178:G178)&lt;=0,99999,'Cooling Tower &amp; Corrugated Fill'!$C$12/4*(1/D178+1/E178+1/F178+1/G178))</f>
        <v/>
      </c>
    </row>
    <row r="179">
      <c r="B179" s="30" t="n">
        <v>17.3</v>
      </c>
      <c r="C179" s="12">
        <f>'Dashboard'!$C$9+B179</f>
        <v/>
      </c>
      <c r="D179" s="14">
        <f>(0.24*((C179+0.1*'Cooling Tower &amp; Corrugated Fill'!$C$12))+0.62198*(0.61094*EXP(17.625*(((C179+0.1*'Cooling Tower &amp; Corrugated Fill'!$C$12))-32)/1.8/((((C179+0.1*'Cooling Tower &amp; Corrugated Fill'!$C$12))-32)/1.8+243.04)))/('Cooling Tower &amp; Corrugated Fill'!$C$14-(0.61094*EXP(17.625*(((C179+0.1*'Cooling Tower &amp; Corrugated Fill'!$C$12))-32)/1.8/((((C179+0.1*'Cooling Tower &amp; Corrugated Fill'!$C$12))-32)/1.8+243.04))))*(1061+0.444*((C179+0.1*'Cooling Tower &amp; Corrugated Fill'!$C$12))))-('Merkel Solver'!$C$4+'Cooling Tower &amp; Corrugated Fill'!$C$13*0.1*'Cooling Tower &amp; Corrugated Fill'!$C$12)</f>
        <v/>
      </c>
      <c r="E179" s="14">
        <f>(0.24*((C179+0.4*'Cooling Tower &amp; Corrugated Fill'!$C$12))+0.62198*(0.61094*EXP(17.625*(((C179+0.4*'Cooling Tower &amp; Corrugated Fill'!$C$12))-32)/1.8/((((C179+0.4*'Cooling Tower &amp; Corrugated Fill'!$C$12))-32)/1.8+243.04)))/('Cooling Tower &amp; Corrugated Fill'!$C$14-(0.61094*EXP(17.625*(((C179+0.4*'Cooling Tower &amp; Corrugated Fill'!$C$12))-32)/1.8/((((C179+0.4*'Cooling Tower &amp; Corrugated Fill'!$C$12))-32)/1.8+243.04))))*(1061+0.444*((C179+0.4*'Cooling Tower &amp; Corrugated Fill'!$C$12))))-('Merkel Solver'!$C$4+'Cooling Tower &amp; Corrugated Fill'!$C$13*0.4*'Cooling Tower &amp; Corrugated Fill'!$C$12)</f>
        <v/>
      </c>
      <c r="F179" s="14">
        <f>(0.24*((C179+0.6*'Cooling Tower &amp; Corrugated Fill'!$C$12))+0.62198*(0.61094*EXP(17.625*(((C179+0.6*'Cooling Tower &amp; Corrugated Fill'!$C$12))-32)/1.8/((((C179+0.6*'Cooling Tower &amp; Corrugated Fill'!$C$12))-32)/1.8+243.04)))/('Cooling Tower &amp; Corrugated Fill'!$C$14-(0.61094*EXP(17.625*(((C179+0.6*'Cooling Tower &amp; Corrugated Fill'!$C$12))-32)/1.8/((((C179+0.6*'Cooling Tower &amp; Corrugated Fill'!$C$12))-32)/1.8+243.04))))*(1061+0.444*((C179+0.6*'Cooling Tower &amp; Corrugated Fill'!$C$12))))-('Merkel Solver'!$C$4+'Cooling Tower &amp; Corrugated Fill'!$C$13*0.6*'Cooling Tower &amp; Corrugated Fill'!$C$12)</f>
        <v/>
      </c>
      <c r="G179" s="14">
        <f>(0.24*((C179+0.9*'Cooling Tower &amp; Corrugated Fill'!$C$12))+0.62198*(0.61094*EXP(17.625*(((C179+0.9*'Cooling Tower &amp; Corrugated Fill'!$C$12))-32)/1.8/((((C179+0.9*'Cooling Tower &amp; Corrugated Fill'!$C$12))-32)/1.8+243.04)))/('Cooling Tower &amp; Corrugated Fill'!$C$14-(0.61094*EXP(17.625*(((C179+0.9*'Cooling Tower &amp; Corrugated Fill'!$C$12))-32)/1.8/((((C179+0.9*'Cooling Tower &amp; Corrugated Fill'!$C$12))-32)/1.8+243.04))))*(1061+0.444*((C179+0.9*'Cooling Tower &amp; Corrugated Fill'!$C$12))))-('Merkel Solver'!$C$4+'Cooling Tower &amp; Corrugated Fill'!$C$13*0.9*'Cooling Tower &amp; Corrugated Fill'!$C$12)</f>
        <v/>
      </c>
      <c r="H179" s="22">
        <f>IF(MIN(D179:G179)&lt;=0,99999,'Cooling Tower &amp; Corrugated Fill'!$C$12/4*(1/D179+1/E179+1/F179+1/G179))</f>
        <v/>
      </c>
    </row>
    <row r="180">
      <c r="B180" s="30" t="n">
        <v>17.4</v>
      </c>
      <c r="C180" s="12">
        <f>'Dashboard'!$C$9+B180</f>
        <v/>
      </c>
      <c r="D180" s="14">
        <f>(0.24*((C180+0.1*'Cooling Tower &amp; Corrugated Fill'!$C$12))+0.62198*(0.61094*EXP(17.625*(((C180+0.1*'Cooling Tower &amp; Corrugated Fill'!$C$12))-32)/1.8/((((C180+0.1*'Cooling Tower &amp; Corrugated Fill'!$C$12))-32)/1.8+243.04)))/('Cooling Tower &amp; Corrugated Fill'!$C$14-(0.61094*EXP(17.625*(((C180+0.1*'Cooling Tower &amp; Corrugated Fill'!$C$12))-32)/1.8/((((C180+0.1*'Cooling Tower &amp; Corrugated Fill'!$C$12))-32)/1.8+243.04))))*(1061+0.444*((C180+0.1*'Cooling Tower &amp; Corrugated Fill'!$C$12))))-('Merkel Solver'!$C$4+'Cooling Tower &amp; Corrugated Fill'!$C$13*0.1*'Cooling Tower &amp; Corrugated Fill'!$C$12)</f>
        <v/>
      </c>
      <c r="E180" s="14">
        <f>(0.24*((C180+0.4*'Cooling Tower &amp; Corrugated Fill'!$C$12))+0.62198*(0.61094*EXP(17.625*(((C180+0.4*'Cooling Tower &amp; Corrugated Fill'!$C$12))-32)/1.8/((((C180+0.4*'Cooling Tower &amp; Corrugated Fill'!$C$12))-32)/1.8+243.04)))/('Cooling Tower &amp; Corrugated Fill'!$C$14-(0.61094*EXP(17.625*(((C180+0.4*'Cooling Tower &amp; Corrugated Fill'!$C$12))-32)/1.8/((((C180+0.4*'Cooling Tower &amp; Corrugated Fill'!$C$12))-32)/1.8+243.04))))*(1061+0.444*((C180+0.4*'Cooling Tower &amp; Corrugated Fill'!$C$12))))-('Merkel Solver'!$C$4+'Cooling Tower &amp; Corrugated Fill'!$C$13*0.4*'Cooling Tower &amp; Corrugated Fill'!$C$12)</f>
        <v/>
      </c>
      <c r="F180" s="14">
        <f>(0.24*((C180+0.6*'Cooling Tower &amp; Corrugated Fill'!$C$12))+0.62198*(0.61094*EXP(17.625*(((C180+0.6*'Cooling Tower &amp; Corrugated Fill'!$C$12))-32)/1.8/((((C180+0.6*'Cooling Tower &amp; Corrugated Fill'!$C$12))-32)/1.8+243.04)))/('Cooling Tower &amp; Corrugated Fill'!$C$14-(0.61094*EXP(17.625*(((C180+0.6*'Cooling Tower &amp; Corrugated Fill'!$C$12))-32)/1.8/((((C180+0.6*'Cooling Tower &amp; Corrugated Fill'!$C$12))-32)/1.8+243.04))))*(1061+0.444*((C180+0.6*'Cooling Tower &amp; Corrugated Fill'!$C$12))))-('Merkel Solver'!$C$4+'Cooling Tower &amp; Corrugated Fill'!$C$13*0.6*'Cooling Tower &amp; Corrugated Fill'!$C$12)</f>
        <v/>
      </c>
      <c r="G180" s="14">
        <f>(0.24*((C180+0.9*'Cooling Tower &amp; Corrugated Fill'!$C$12))+0.62198*(0.61094*EXP(17.625*(((C180+0.9*'Cooling Tower &amp; Corrugated Fill'!$C$12))-32)/1.8/((((C180+0.9*'Cooling Tower &amp; Corrugated Fill'!$C$12))-32)/1.8+243.04)))/('Cooling Tower &amp; Corrugated Fill'!$C$14-(0.61094*EXP(17.625*(((C180+0.9*'Cooling Tower &amp; Corrugated Fill'!$C$12))-32)/1.8/((((C180+0.9*'Cooling Tower &amp; Corrugated Fill'!$C$12))-32)/1.8+243.04))))*(1061+0.444*((C180+0.9*'Cooling Tower &amp; Corrugated Fill'!$C$12))))-('Merkel Solver'!$C$4+'Cooling Tower &amp; Corrugated Fill'!$C$13*0.9*'Cooling Tower &amp; Corrugated Fill'!$C$12)</f>
        <v/>
      </c>
      <c r="H180" s="22">
        <f>IF(MIN(D180:G180)&lt;=0,99999,'Cooling Tower &amp; Corrugated Fill'!$C$12/4*(1/D180+1/E180+1/F180+1/G180))</f>
        <v/>
      </c>
    </row>
    <row r="181">
      <c r="B181" s="30" t="n">
        <v>17.5</v>
      </c>
      <c r="C181" s="12">
        <f>'Dashboard'!$C$9+B181</f>
        <v/>
      </c>
      <c r="D181" s="14">
        <f>(0.24*((C181+0.1*'Cooling Tower &amp; Corrugated Fill'!$C$12))+0.62198*(0.61094*EXP(17.625*(((C181+0.1*'Cooling Tower &amp; Corrugated Fill'!$C$12))-32)/1.8/((((C181+0.1*'Cooling Tower &amp; Corrugated Fill'!$C$12))-32)/1.8+243.04)))/('Cooling Tower &amp; Corrugated Fill'!$C$14-(0.61094*EXP(17.625*(((C181+0.1*'Cooling Tower &amp; Corrugated Fill'!$C$12))-32)/1.8/((((C181+0.1*'Cooling Tower &amp; Corrugated Fill'!$C$12))-32)/1.8+243.04))))*(1061+0.444*((C181+0.1*'Cooling Tower &amp; Corrugated Fill'!$C$12))))-('Merkel Solver'!$C$4+'Cooling Tower &amp; Corrugated Fill'!$C$13*0.1*'Cooling Tower &amp; Corrugated Fill'!$C$12)</f>
        <v/>
      </c>
      <c r="E181" s="14">
        <f>(0.24*((C181+0.4*'Cooling Tower &amp; Corrugated Fill'!$C$12))+0.62198*(0.61094*EXP(17.625*(((C181+0.4*'Cooling Tower &amp; Corrugated Fill'!$C$12))-32)/1.8/((((C181+0.4*'Cooling Tower &amp; Corrugated Fill'!$C$12))-32)/1.8+243.04)))/('Cooling Tower &amp; Corrugated Fill'!$C$14-(0.61094*EXP(17.625*(((C181+0.4*'Cooling Tower &amp; Corrugated Fill'!$C$12))-32)/1.8/((((C181+0.4*'Cooling Tower &amp; Corrugated Fill'!$C$12))-32)/1.8+243.04))))*(1061+0.444*((C181+0.4*'Cooling Tower &amp; Corrugated Fill'!$C$12))))-('Merkel Solver'!$C$4+'Cooling Tower &amp; Corrugated Fill'!$C$13*0.4*'Cooling Tower &amp; Corrugated Fill'!$C$12)</f>
        <v/>
      </c>
      <c r="F181" s="14">
        <f>(0.24*((C181+0.6*'Cooling Tower &amp; Corrugated Fill'!$C$12))+0.62198*(0.61094*EXP(17.625*(((C181+0.6*'Cooling Tower &amp; Corrugated Fill'!$C$12))-32)/1.8/((((C181+0.6*'Cooling Tower &amp; Corrugated Fill'!$C$12))-32)/1.8+243.04)))/('Cooling Tower &amp; Corrugated Fill'!$C$14-(0.61094*EXP(17.625*(((C181+0.6*'Cooling Tower &amp; Corrugated Fill'!$C$12))-32)/1.8/((((C181+0.6*'Cooling Tower &amp; Corrugated Fill'!$C$12))-32)/1.8+243.04))))*(1061+0.444*((C181+0.6*'Cooling Tower &amp; Corrugated Fill'!$C$12))))-('Merkel Solver'!$C$4+'Cooling Tower &amp; Corrugated Fill'!$C$13*0.6*'Cooling Tower &amp; Corrugated Fill'!$C$12)</f>
        <v/>
      </c>
      <c r="G181" s="14">
        <f>(0.24*((C181+0.9*'Cooling Tower &amp; Corrugated Fill'!$C$12))+0.62198*(0.61094*EXP(17.625*(((C181+0.9*'Cooling Tower &amp; Corrugated Fill'!$C$12))-32)/1.8/((((C181+0.9*'Cooling Tower &amp; Corrugated Fill'!$C$12))-32)/1.8+243.04)))/('Cooling Tower &amp; Corrugated Fill'!$C$14-(0.61094*EXP(17.625*(((C181+0.9*'Cooling Tower &amp; Corrugated Fill'!$C$12))-32)/1.8/((((C181+0.9*'Cooling Tower &amp; Corrugated Fill'!$C$12))-32)/1.8+243.04))))*(1061+0.444*((C181+0.9*'Cooling Tower &amp; Corrugated Fill'!$C$12))))-('Merkel Solver'!$C$4+'Cooling Tower &amp; Corrugated Fill'!$C$13*0.9*'Cooling Tower &amp; Corrugated Fill'!$C$12)</f>
        <v/>
      </c>
      <c r="H181" s="22">
        <f>IF(MIN(D181:G181)&lt;=0,99999,'Cooling Tower &amp; Corrugated Fill'!$C$12/4*(1/D181+1/E181+1/F181+1/G181))</f>
        <v/>
      </c>
    </row>
    <row r="182">
      <c r="B182" s="30" t="n">
        <v>17.6</v>
      </c>
      <c r="C182" s="12">
        <f>'Dashboard'!$C$9+B182</f>
        <v/>
      </c>
      <c r="D182" s="14">
        <f>(0.24*((C182+0.1*'Cooling Tower &amp; Corrugated Fill'!$C$12))+0.62198*(0.61094*EXP(17.625*(((C182+0.1*'Cooling Tower &amp; Corrugated Fill'!$C$12))-32)/1.8/((((C182+0.1*'Cooling Tower &amp; Corrugated Fill'!$C$12))-32)/1.8+243.04)))/('Cooling Tower &amp; Corrugated Fill'!$C$14-(0.61094*EXP(17.625*(((C182+0.1*'Cooling Tower &amp; Corrugated Fill'!$C$12))-32)/1.8/((((C182+0.1*'Cooling Tower &amp; Corrugated Fill'!$C$12))-32)/1.8+243.04))))*(1061+0.444*((C182+0.1*'Cooling Tower &amp; Corrugated Fill'!$C$12))))-('Merkel Solver'!$C$4+'Cooling Tower &amp; Corrugated Fill'!$C$13*0.1*'Cooling Tower &amp; Corrugated Fill'!$C$12)</f>
        <v/>
      </c>
      <c r="E182" s="14">
        <f>(0.24*((C182+0.4*'Cooling Tower &amp; Corrugated Fill'!$C$12))+0.62198*(0.61094*EXP(17.625*(((C182+0.4*'Cooling Tower &amp; Corrugated Fill'!$C$12))-32)/1.8/((((C182+0.4*'Cooling Tower &amp; Corrugated Fill'!$C$12))-32)/1.8+243.04)))/('Cooling Tower &amp; Corrugated Fill'!$C$14-(0.61094*EXP(17.625*(((C182+0.4*'Cooling Tower &amp; Corrugated Fill'!$C$12))-32)/1.8/((((C182+0.4*'Cooling Tower &amp; Corrugated Fill'!$C$12))-32)/1.8+243.04))))*(1061+0.444*((C182+0.4*'Cooling Tower &amp; Corrugated Fill'!$C$12))))-('Merkel Solver'!$C$4+'Cooling Tower &amp; Corrugated Fill'!$C$13*0.4*'Cooling Tower &amp; Corrugated Fill'!$C$12)</f>
        <v/>
      </c>
      <c r="F182" s="14">
        <f>(0.24*((C182+0.6*'Cooling Tower &amp; Corrugated Fill'!$C$12))+0.62198*(0.61094*EXP(17.625*(((C182+0.6*'Cooling Tower &amp; Corrugated Fill'!$C$12))-32)/1.8/((((C182+0.6*'Cooling Tower &amp; Corrugated Fill'!$C$12))-32)/1.8+243.04)))/('Cooling Tower &amp; Corrugated Fill'!$C$14-(0.61094*EXP(17.625*(((C182+0.6*'Cooling Tower &amp; Corrugated Fill'!$C$12))-32)/1.8/((((C182+0.6*'Cooling Tower &amp; Corrugated Fill'!$C$12))-32)/1.8+243.04))))*(1061+0.444*((C182+0.6*'Cooling Tower &amp; Corrugated Fill'!$C$12))))-('Merkel Solver'!$C$4+'Cooling Tower &amp; Corrugated Fill'!$C$13*0.6*'Cooling Tower &amp; Corrugated Fill'!$C$12)</f>
        <v/>
      </c>
      <c r="G182" s="14">
        <f>(0.24*((C182+0.9*'Cooling Tower &amp; Corrugated Fill'!$C$12))+0.62198*(0.61094*EXP(17.625*(((C182+0.9*'Cooling Tower &amp; Corrugated Fill'!$C$12))-32)/1.8/((((C182+0.9*'Cooling Tower &amp; Corrugated Fill'!$C$12))-32)/1.8+243.04)))/('Cooling Tower &amp; Corrugated Fill'!$C$14-(0.61094*EXP(17.625*(((C182+0.9*'Cooling Tower &amp; Corrugated Fill'!$C$12))-32)/1.8/((((C182+0.9*'Cooling Tower &amp; Corrugated Fill'!$C$12))-32)/1.8+243.04))))*(1061+0.444*((C182+0.9*'Cooling Tower &amp; Corrugated Fill'!$C$12))))-('Merkel Solver'!$C$4+'Cooling Tower &amp; Corrugated Fill'!$C$13*0.9*'Cooling Tower &amp; Corrugated Fill'!$C$12)</f>
        <v/>
      </c>
      <c r="H182" s="22">
        <f>IF(MIN(D182:G182)&lt;=0,99999,'Cooling Tower &amp; Corrugated Fill'!$C$12/4*(1/D182+1/E182+1/F182+1/G182))</f>
        <v/>
      </c>
    </row>
    <row r="183">
      <c r="B183" s="30" t="n">
        <v>17.7</v>
      </c>
      <c r="C183" s="12">
        <f>'Dashboard'!$C$9+B183</f>
        <v/>
      </c>
      <c r="D183" s="14">
        <f>(0.24*((C183+0.1*'Cooling Tower &amp; Corrugated Fill'!$C$12))+0.62198*(0.61094*EXP(17.625*(((C183+0.1*'Cooling Tower &amp; Corrugated Fill'!$C$12))-32)/1.8/((((C183+0.1*'Cooling Tower &amp; Corrugated Fill'!$C$12))-32)/1.8+243.04)))/('Cooling Tower &amp; Corrugated Fill'!$C$14-(0.61094*EXP(17.625*(((C183+0.1*'Cooling Tower &amp; Corrugated Fill'!$C$12))-32)/1.8/((((C183+0.1*'Cooling Tower &amp; Corrugated Fill'!$C$12))-32)/1.8+243.04))))*(1061+0.444*((C183+0.1*'Cooling Tower &amp; Corrugated Fill'!$C$12))))-('Merkel Solver'!$C$4+'Cooling Tower &amp; Corrugated Fill'!$C$13*0.1*'Cooling Tower &amp; Corrugated Fill'!$C$12)</f>
        <v/>
      </c>
      <c r="E183" s="14">
        <f>(0.24*((C183+0.4*'Cooling Tower &amp; Corrugated Fill'!$C$12))+0.62198*(0.61094*EXP(17.625*(((C183+0.4*'Cooling Tower &amp; Corrugated Fill'!$C$12))-32)/1.8/((((C183+0.4*'Cooling Tower &amp; Corrugated Fill'!$C$12))-32)/1.8+243.04)))/('Cooling Tower &amp; Corrugated Fill'!$C$14-(0.61094*EXP(17.625*(((C183+0.4*'Cooling Tower &amp; Corrugated Fill'!$C$12))-32)/1.8/((((C183+0.4*'Cooling Tower &amp; Corrugated Fill'!$C$12))-32)/1.8+243.04))))*(1061+0.444*((C183+0.4*'Cooling Tower &amp; Corrugated Fill'!$C$12))))-('Merkel Solver'!$C$4+'Cooling Tower &amp; Corrugated Fill'!$C$13*0.4*'Cooling Tower &amp; Corrugated Fill'!$C$12)</f>
        <v/>
      </c>
      <c r="F183" s="14">
        <f>(0.24*((C183+0.6*'Cooling Tower &amp; Corrugated Fill'!$C$12))+0.62198*(0.61094*EXP(17.625*(((C183+0.6*'Cooling Tower &amp; Corrugated Fill'!$C$12))-32)/1.8/((((C183+0.6*'Cooling Tower &amp; Corrugated Fill'!$C$12))-32)/1.8+243.04)))/('Cooling Tower &amp; Corrugated Fill'!$C$14-(0.61094*EXP(17.625*(((C183+0.6*'Cooling Tower &amp; Corrugated Fill'!$C$12))-32)/1.8/((((C183+0.6*'Cooling Tower &amp; Corrugated Fill'!$C$12))-32)/1.8+243.04))))*(1061+0.444*((C183+0.6*'Cooling Tower &amp; Corrugated Fill'!$C$12))))-('Merkel Solver'!$C$4+'Cooling Tower &amp; Corrugated Fill'!$C$13*0.6*'Cooling Tower &amp; Corrugated Fill'!$C$12)</f>
        <v/>
      </c>
      <c r="G183" s="14">
        <f>(0.24*((C183+0.9*'Cooling Tower &amp; Corrugated Fill'!$C$12))+0.62198*(0.61094*EXP(17.625*(((C183+0.9*'Cooling Tower &amp; Corrugated Fill'!$C$12))-32)/1.8/((((C183+0.9*'Cooling Tower &amp; Corrugated Fill'!$C$12))-32)/1.8+243.04)))/('Cooling Tower &amp; Corrugated Fill'!$C$14-(0.61094*EXP(17.625*(((C183+0.9*'Cooling Tower &amp; Corrugated Fill'!$C$12))-32)/1.8/((((C183+0.9*'Cooling Tower &amp; Corrugated Fill'!$C$12))-32)/1.8+243.04))))*(1061+0.444*((C183+0.9*'Cooling Tower &amp; Corrugated Fill'!$C$12))))-('Merkel Solver'!$C$4+'Cooling Tower &amp; Corrugated Fill'!$C$13*0.9*'Cooling Tower &amp; Corrugated Fill'!$C$12)</f>
        <v/>
      </c>
      <c r="H183" s="22">
        <f>IF(MIN(D183:G183)&lt;=0,99999,'Cooling Tower &amp; Corrugated Fill'!$C$12/4*(1/D183+1/E183+1/F183+1/G183))</f>
        <v/>
      </c>
    </row>
    <row r="184">
      <c r="B184" s="30" t="n">
        <v>17.8</v>
      </c>
      <c r="C184" s="12">
        <f>'Dashboard'!$C$9+B184</f>
        <v/>
      </c>
      <c r="D184" s="14">
        <f>(0.24*((C184+0.1*'Cooling Tower &amp; Corrugated Fill'!$C$12))+0.62198*(0.61094*EXP(17.625*(((C184+0.1*'Cooling Tower &amp; Corrugated Fill'!$C$12))-32)/1.8/((((C184+0.1*'Cooling Tower &amp; Corrugated Fill'!$C$12))-32)/1.8+243.04)))/('Cooling Tower &amp; Corrugated Fill'!$C$14-(0.61094*EXP(17.625*(((C184+0.1*'Cooling Tower &amp; Corrugated Fill'!$C$12))-32)/1.8/((((C184+0.1*'Cooling Tower &amp; Corrugated Fill'!$C$12))-32)/1.8+243.04))))*(1061+0.444*((C184+0.1*'Cooling Tower &amp; Corrugated Fill'!$C$12))))-('Merkel Solver'!$C$4+'Cooling Tower &amp; Corrugated Fill'!$C$13*0.1*'Cooling Tower &amp; Corrugated Fill'!$C$12)</f>
        <v/>
      </c>
      <c r="E184" s="14">
        <f>(0.24*((C184+0.4*'Cooling Tower &amp; Corrugated Fill'!$C$12))+0.62198*(0.61094*EXP(17.625*(((C184+0.4*'Cooling Tower &amp; Corrugated Fill'!$C$12))-32)/1.8/((((C184+0.4*'Cooling Tower &amp; Corrugated Fill'!$C$12))-32)/1.8+243.04)))/('Cooling Tower &amp; Corrugated Fill'!$C$14-(0.61094*EXP(17.625*(((C184+0.4*'Cooling Tower &amp; Corrugated Fill'!$C$12))-32)/1.8/((((C184+0.4*'Cooling Tower &amp; Corrugated Fill'!$C$12))-32)/1.8+243.04))))*(1061+0.444*((C184+0.4*'Cooling Tower &amp; Corrugated Fill'!$C$12))))-('Merkel Solver'!$C$4+'Cooling Tower &amp; Corrugated Fill'!$C$13*0.4*'Cooling Tower &amp; Corrugated Fill'!$C$12)</f>
        <v/>
      </c>
      <c r="F184" s="14">
        <f>(0.24*((C184+0.6*'Cooling Tower &amp; Corrugated Fill'!$C$12))+0.62198*(0.61094*EXP(17.625*(((C184+0.6*'Cooling Tower &amp; Corrugated Fill'!$C$12))-32)/1.8/((((C184+0.6*'Cooling Tower &amp; Corrugated Fill'!$C$12))-32)/1.8+243.04)))/('Cooling Tower &amp; Corrugated Fill'!$C$14-(0.61094*EXP(17.625*(((C184+0.6*'Cooling Tower &amp; Corrugated Fill'!$C$12))-32)/1.8/((((C184+0.6*'Cooling Tower &amp; Corrugated Fill'!$C$12))-32)/1.8+243.04))))*(1061+0.444*((C184+0.6*'Cooling Tower &amp; Corrugated Fill'!$C$12))))-('Merkel Solver'!$C$4+'Cooling Tower &amp; Corrugated Fill'!$C$13*0.6*'Cooling Tower &amp; Corrugated Fill'!$C$12)</f>
        <v/>
      </c>
      <c r="G184" s="14">
        <f>(0.24*((C184+0.9*'Cooling Tower &amp; Corrugated Fill'!$C$12))+0.62198*(0.61094*EXP(17.625*(((C184+0.9*'Cooling Tower &amp; Corrugated Fill'!$C$12))-32)/1.8/((((C184+0.9*'Cooling Tower &amp; Corrugated Fill'!$C$12))-32)/1.8+243.04)))/('Cooling Tower &amp; Corrugated Fill'!$C$14-(0.61094*EXP(17.625*(((C184+0.9*'Cooling Tower &amp; Corrugated Fill'!$C$12))-32)/1.8/((((C184+0.9*'Cooling Tower &amp; Corrugated Fill'!$C$12))-32)/1.8+243.04))))*(1061+0.444*((C184+0.9*'Cooling Tower &amp; Corrugated Fill'!$C$12))))-('Merkel Solver'!$C$4+'Cooling Tower &amp; Corrugated Fill'!$C$13*0.9*'Cooling Tower &amp; Corrugated Fill'!$C$12)</f>
        <v/>
      </c>
      <c r="H184" s="22">
        <f>IF(MIN(D184:G184)&lt;=0,99999,'Cooling Tower &amp; Corrugated Fill'!$C$12/4*(1/D184+1/E184+1/F184+1/G184))</f>
        <v/>
      </c>
    </row>
    <row r="185">
      <c r="B185" s="30" t="n">
        <v>17.9</v>
      </c>
      <c r="C185" s="12">
        <f>'Dashboard'!$C$9+B185</f>
        <v/>
      </c>
      <c r="D185" s="14">
        <f>(0.24*((C185+0.1*'Cooling Tower &amp; Corrugated Fill'!$C$12))+0.62198*(0.61094*EXP(17.625*(((C185+0.1*'Cooling Tower &amp; Corrugated Fill'!$C$12))-32)/1.8/((((C185+0.1*'Cooling Tower &amp; Corrugated Fill'!$C$12))-32)/1.8+243.04)))/('Cooling Tower &amp; Corrugated Fill'!$C$14-(0.61094*EXP(17.625*(((C185+0.1*'Cooling Tower &amp; Corrugated Fill'!$C$12))-32)/1.8/((((C185+0.1*'Cooling Tower &amp; Corrugated Fill'!$C$12))-32)/1.8+243.04))))*(1061+0.444*((C185+0.1*'Cooling Tower &amp; Corrugated Fill'!$C$12))))-('Merkel Solver'!$C$4+'Cooling Tower &amp; Corrugated Fill'!$C$13*0.1*'Cooling Tower &amp; Corrugated Fill'!$C$12)</f>
        <v/>
      </c>
      <c r="E185" s="14">
        <f>(0.24*((C185+0.4*'Cooling Tower &amp; Corrugated Fill'!$C$12))+0.62198*(0.61094*EXP(17.625*(((C185+0.4*'Cooling Tower &amp; Corrugated Fill'!$C$12))-32)/1.8/((((C185+0.4*'Cooling Tower &amp; Corrugated Fill'!$C$12))-32)/1.8+243.04)))/('Cooling Tower &amp; Corrugated Fill'!$C$14-(0.61094*EXP(17.625*(((C185+0.4*'Cooling Tower &amp; Corrugated Fill'!$C$12))-32)/1.8/((((C185+0.4*'Cooling Tower &amp; Corrugated Fill'!$C$12))-32)/1.8+243.04))))*(1061+0.444*((C185+0.4*'Cooling Tower &amp; Corrugated Fill'!$C$12))))-('Merkel Solver'!$C$4+'Cooling Tower &amp; Corrugated Fill'!$C$13*0.4*'Cooling Tower &amp; Corrugated Fill'!$C$12)</f>
        <v/>
      </c>
      <c r="F185" s="14">
        <f>(0.24*((C185+0.6*'Cooling Tower &amp; Corrugated Fill'!$C$12))+0.62198*(0.61094*EXP(17.625*(((C185+0.6*'Cooling Tower &amp; Corrugated Fill'!$C$12))-32)/1.8/((((C185+0.6*'Cooling Tower &amp; Corrugated Fill'!$C$12))-32)/1.8+243.04)))/('Cooling Tower &amp; Corrugated Fill'!$C$14-(0.61094*EXP(17.625*(((C185+0.6*'Cooling Tower &amp; Corrugated Fill'!$C$12))-32)/1.8/((((C185+0.6*'Cooling Tower &amp; Corrugated Fill'!$C$12))-32)/1.8+243.04))))*(1061+0.444*((C185+0.6*'Cooling Tower &amp; Corrugated Fill'!$C$12))))-('Merkel Solver'!$C$4+'Cooling Tower &amp; Corrugated Fill'!$C$13*0.6*'Cooling Tower &amp; Corrugated Fill'!$C$12)</f>
        <v/>
      </c>
      <c r="G185" s="14">
        <f>(0.24*((C185+0.9*'Cooling Tower &amp; Corrugated Fill'!$C$12))+0.62198*(0.61094*EXP(17.625*(((C185+0.9*'Cooling Tower &amp; Corrugated Fill'!$C$12))-32)/1.8/((((C185+0.9*'Cooling Tower &amp; Corrugated Fill'!$C$12))-32)/1.8+243.04)))/('Cooling Tower &amp; Corrugated Fill'!$C$14-(0.61094*EXP(17.625*(((C185+0.9*'Cooling Tower &amp; Corrugated Fill'!$C$12))-32)/1.8/((((C185+0.9*'Cooling Tower &amp; Corrugated Fill'!$C$12))-32)/1.8+243.04))))*(1061+0.444*((C185+0.9*'Cooling Tower &amp; Corrugated Fill'!$C$12))))-('Merkel Solver'!$C$4+'Cooling Tower &amp; Corrugated Fill'!$C$13*0.9*'Cooling Tower &amp; Corrugated Fill'!$C$12)</f>
        <v/>
      </c>
      <c r="H185" s="22">
        <f>IF(MIN(D185:G185)&lt;=0,99999,'Cooling Tower &amp; Corrugated Fill'!$C$12/4*(1/D185+1/E185+1/F185+1/G185))</f>
        <v/>
      </c>
    </row>
    <row r="186">
      <c r="B186" s="30" t="n">
        <v>18</v>
      </c>
      <c r="C186" s="12">
        <f>'Dashboard'!$C$9+B186</f>
        <v/>
      </c>
      <c r="D186" s="14">
        <f>(0.24*((C186+0.1*'Cooling Tower &amp; Corrugated Fill'!$C$12))+0.62198*(0.61094*EXP(17.625*(((C186+0.1*'Cooling Tower &amp; Corrugated Fill'!$C$12))-32)/1.8/((((C186+0.1*'Cooling Tower &amp; Corrugated Fill'!$C$12))-32)/1.8+243.04)))/('Cooling Tower &amp; Corrugated Fill'!$C$14-(0.61094*EXP(17.625*(((C186+0.1*'Cooling Tower &amp; Corrugated Fill'!$C$12))-32)/1.8/((((C186+0.1*'Cooling Tower &amp; Corrugated Fill'!$C$12))-32)/1.8+243.04))))*(1061+0.444*((C186+0.1*'Cooling Tower &amp; Corrugated Fill'!$C$12))))-('Merkel Solver'!$C$4+'Cooling Tower &amp; Corrugated Fill'!$C$13*0.1*'Cooling Tower &amp; Corrugated Fill'!$C$12)</f>
        <v/>
      </c>
      <c r="E186" s="14">
        <f>(0.24*((C186+0.4*'Cooling Tower &amp; Corrugated Fill'!$C$12))+0.62198*(0.61094*EXP(17.625*(((C186+0.4*'Cooling Tower &amp; Corrugated Fill'!$C$12))-32)/1.8/((((C186+0.4*'Cooling Tower &amp; Corrugated Fill'!$C$12))-32)/1.8+243.04)))/('Cooling Tower &amp; Corrugated Fill'!$C$14-(0.61094*EXP(17.625*(((C186+0.4*'Cooling Tower &amp; Corrugated Fill'!$C$12))-32)/1.8/((((C186+0.4*'Cooling Tower &amp; Corrugated Fill'!$C$12))-32)/1.8+243.04))))*(1061+0.444*((C186+0.4*'Cooling Tower &amp; Corrugated Fill'!$C$12))))-('Merkel Solver'!$C$4+'Cooling Tower &amp; Corrugated Fill'!$C$13*0.4*'Cooling Tower &amp; Corrugated Fill'!$C$12)</f>
        <v/>
      </c>
      <c r="F186" s="14">
        <f>(0.24*((C186+0.6*'Cooling Tower &amp; Corrugated Fill'!$C$12))+0.62198*(0.61094*EXP(17.625*(((C186+0.6*'Cooling Tower &amp; Corrugated Fill'!$C$12))-32)/1.8/((((C186+0.6*'Cooling Tower &amp; Corrugated Fill'!$C$12))-32)/1.8+243.04)))/('Cooling Tower &amp; Corrugated Fill'!$C$14-(0.61094*EXP(17.625*(((C186+0.6*'Cooling Tower &amp; Corrugated Fill'!$C$12))-32)/1.8/((((C186+0.6*'Cooling Tower &amp; Corrugated Fill'!$C$12))-32)/1.8+243.04))))*(1061+0.444*((C186+0.6*'Cooling Tower &amp; Corrugated Fill'!$C$12))))-('Merkel Solver'!$C$4+'Cooling Tower &amp; Corrugated Fill'!$C$13*0.6*'Cooling Tower &amp; Corrugated Fill'!$C$12)</f>
        <v/>
      </c>
      <c r="G186" s="14">
        <f>(0.24*((C186+0.9*'Cooling Tower &amp; Corrugated Fill'!$C$12))+0.62198*(0.61094*EXP(17.625*(((C186+0.9*'Cooling Tower &amp; Corrugated Fill'!$C$12))-32)/1.8/((((C186+0.9*'Cooling Tower &amp; Corrugated Fill'!$C$12))-32)/1.8+243.04)))/('Cooling Tower &amp; Corrugated Fill'!$C$14-(0.61094*EXP(17.625*(((C186+0.9*'Cooling Tower &amp; Corrugated Fill'!$C$12))-32)/1.8/((((C186+0.9*'Cooling Tower &amp; Corrugated Fill'!$C$12))-32)/1.8+243.04))))*(1061+0.444*((C186+0.9*'Cooling Tower &amp; Corrugated Fill'!$C$12))))-('Merkel Solver'!$C$4+'Cooling Tower &amp; Corrugated Fill'!$C$13*0.9*'Cooling Tower &amp; Corrugated Fill'!$C$12)</f>
        <v/>
      </c>
      <c r="H186" s="22">
        <f>IF(MIN(D186:G186)&lt;=0,99999,'Cooling Tower &amp; Corrugated Fill'!$C$12/4*(1/D186+1/E186+1/F186+1/G186))</f>
        <v/>
      </c>
    </row>
    <row r="187">
      <c r="B187" s="30" t="n">
        <v>18.1</v>
      </c>
      <c r="C187" s="12">
        <f>'Dashboard'!$C$9+B187</f>
        <v/>
      </c>
      <c r="D187" s="14">
        <f>(0.24*((C187+0.1*'Cooling Tower &amp; Corrugated Fill'!$C$12))+0.62198*(0.61094*EXP(17.625*(((C187+0.1*'Cooling Tower &amp; Corrugated Fill'!$C$12))-32)/1.8/((((C187+0.1*'Cooling Tower &amp; Corrugated Fill'!$C$12))-32)/1.8+243.04)))/('Cooling Tower &amp; Corrugated Fill'!$C$14-(0.61094*EXP(17.625*(((C187+0.1*'Cooling Tower &amp; Corrugated Fill'!$C$12))-32)/1.8/((((C187+0.1*'Cooling Tower &amp; Corrugated Fill'!$C$12))-32)/1.8+243.04))))*(1061+0.444*((C187+0.1*'Cooling Tower &amp; Corrugated Fill'!$C$12))))-('Merkel Solver'!$C$4+'Cooling Tower &amp; Corrugated Fill'!$C$13*0.1*'Cooling Tower &amp; Corrugated Fill'!$C$12)</f>
        <v/>
      </c>
      <c r="E187" s="14">
        <f>(0.24*((C187+0.4*'Cooling Tower &amp; Corrugated Fill'!$C$12))+0.62198*(0.61094*EXP(17.625*(((C187+0.4*'Cooling Tower &amp; Corrugated Fill'!$C$12))-32)/1.8/((((C187+0.4*'Cooling Tower &amp; Corrugated Fill'!$C$12))-32)/1.8+243.04)))/('Cooling Tower &amp; Corrugated Fill'!$C$14-(0.61094*EXP(17.625*(((C187+0.4*'Cooling Tower &amp; Corrugated Fill'!$C$12))-32)/1.8/((((C187+0.4*'Cooling Tower &amp; Corrugated Fill'!$C$12))-32)/1.8+243.04))))*(1061+0.444*((C187+0.4*'Cooling Tower &amp; Corrugated Fill'!$C$12))))-('Merkel Solver'!$C$4+'Cooling Tower &amp; Corrugated Fill'!$C$13*0.4*'Cooling Tower &amp; Corrugated Fill'!$C$12)</f>
        <v/>
      </c>
      <c r="F187" s="14">
        <f>(0.24*((C187+0.6*'Cooling Tower &amp; Corrugated Fill'!$C$12))+0.62198*(0.61094*EXP(17.625*(((C187+0.6*'Cooling Tower &amp; Corrugated Fill'!$C$12))-32)/1.8/((((C187+0.6*'Cooling Tower &amp; Corrugated Fill'!$C$12))-32)/1.8+243.04)))/('Cooling Tower &amp; Corrugated Fill'!$C$14-(0.61094*EXP(17.625*(((C187+0.6*'Cooling Tower &amp; Corrugated Fill'!$C$12))-32)/1.8/((((C187+0.6*'Cooling Tower &amp; Corrugated Fill'!$C$12))-32)/1.8+243.04))))*(1061+0.444*((C187+0.6*'Cooling Tower &amp; Corrugated Fill'!$C$12))))-('Merkel Solver'!$C$4+'Cooling Tower &amp; Corrugated Fill'!$C$13*0.6*'Cooling Tower &amp; Corrugated Fill'!$C$12)</f>
        <v/>
      </c>
      <c r="G187" s="14">
        <f>(0.24*((C187+0.9*'Cooling Tower &amp; Corrugated Fill'!$C$12))+0.62198*(0.61094*EXP(17.625*(((C187+0.9*'Cooling Tower &amp; Corrugated Fill'!$C$12))-32)/1.8/((((C187+0.9*'Cooling Tower &amp; Corrugated Fill'!$C$12))-32)/1.8+243.04)))/('Cooling Tower &amp; Corrugated Fill'!$C$14-(0.61094*EXP(17.625*(((C187+0.9*'Cooling Tower &amp; Corrugated Fill'!$C$12))-32)/1.8/((((C187+0.9*'Cooling Tower &amp; Corrugated Fill'!$C$12))-32)/1.8+243.04))))*(1061+0.444*((C187+0.9*'Cooling Tower &amp; Corrugated Fill'!$C$12))))-('Merkel Solver'!$C$4+'Cooling Tower &amp; Corrugated Fill'!$C$13*0.9*'Cooling Tower &amp; Corrugated Fill'!$C$12)</f>
        <v/>
      </c>
      <c r="H187" s="22">
        <f>IF(MIN(D187:G187)&lt;=0,99999,'Cooling Tower &amp; Corrugated Fill'!$C$12/4*(1/D187+1/E187+1/F187+1/G187))</f>
        <v/>
      </c>
    </row>
    <row r="188">
      <c r="B188" s="30" t="n">
        <v>18.2</v>
      </c>
      <c r="C188" s="12">
        <f>'Dashboard'!$C$9+B188</f>
        <v/>
      </c>
      <c r="D188" s="14">
        <f>(0.24*((C188+0.1*'Cooling Tower &amp; Corrugated Fill'!$C$12))+0.62198*(0.61094*EXP(17.625*(((C188+0.1*'Cooling Tower &amp; Corrugated Fill'!$C$12))-32)/1.8/((((C188+0.1*'Cooling Tower &amp; Corrugated Fill'!$C$12))-32)/1.8+243.04)))/('Cooling Tower &amp; Corrugated Fill'!$C$14-(0.61094*EXP(17.625*(((C188+0.1*'Cooling Tower &amp; Corrugated Fill'!$C$12))-32)/1.8/((((C188+0.1*'Cooling Tower &amp; Corrugated Fill'!$C$12))-32)/1.8+243.04))))*(1061+0.444*((C188+0.1*'Cooling Tower &amp; Corrugated Fill'!$C$12))))-('Merkel Solver'!$C$4+'Cooling Tower &amp; Corrugated Fill'!$C$13*0.1*'Cooling Tower &amp; Corrugated Fill'!$C$12)</f>
        <v/>
      </c>
      <c r="E188" s="14">
        <f>(0.24*((C188+0.4*'Cooling Tower &amp; Corrugated Fill'!$C$12))+0.62198*(0.61094*EXP(17.625*(((C188+0.4*'Cooling Tower &amp; Corrugated Fill'!$C$12))-32)/1.8/((((C188+0.4*'Cooling Tower &amp; Corrugated Fill'!$C$12))-32)/1.8+243.04)))/('Cooling Tower &amp; Corrugated Fill'!$C$14-(0.61094*EXP(17.625*(((C188+0.4*'Cooling Tower &amp; Corrugated Fill'!$C$12))-32)/1.8/((((C188+0.4*'Cooling Tower &amp; Corrugated Fill'!$C$12))-32)/1.8+243.04))))*(1061+0.444*((C188+0.4*'Cooling Tower &amp; Corrugated Fill'!$C$12))))-('Merkel Solver'!$C$4+'Cooling Tower &amp; Corrugated Fill'!$C$13*0.4*'Cooling Tower &amp; Corrugated Fill'!$C$12)</f>
        <v/>
      </c>
      <c r="F188" s="14">
        <f>(0.24*((C188+0.6*'Cooling Tower &amp; Corrugated Fill'!$C$12))+0.62198*(0.61094*EXP(17.625*(((C188+0.6*'Cooling Tower &amp; Corrugated Fill'!$C$12))-32)/1.8/((((C188+0.6*'Cooling Tower &amp; Corrugated Fill'!$C$12))-32)/1.8+243.04)))/('Cooling Tower &amp; Corrugated Fill'!$C$14-(0.61094*EXP(17.625*(((C188+0.6*'Cooling Tower &amp; Corrugated Fill'!$C$12))-32)/1.8/((((C188+0.6*'Cooling Tower &amp; Corrugated Fill'!$C$12))-32)/1.8+243.04))))*(1061+0.444*((C188+0.6*'Cooling Tower &amp; Corrugated Fill'!$C$12))))-('Merkel Solver'!$C$4+'Cooling Tower &amp; Corrugated Fill'!$C$13*0.6*'Cooling Tower &amp; Corrugated Fill'!$C$12)</f>
        <v/>
      </c>
      <c r="G188" s="14">
        <f>(0.24*((C188+0.9*'Cooling Tower &amp; Corrugated Fill'!$C$12))+0.62198*(0.61094*EXP(17.625*(((C188+0.9*'Cooling Tower &amp; Corrugated Fill'!$C$12))-32)/1.8/((((C188+0.9*'Cooling Tower &amp; Corrugated Fill'!$C$12))-32)/1.8+243.04)))/('Cooling Tower &amp; Corrugated Fill'!$C$14-(0.61094*EXP(17.625*(((C188+0.9*'Cooling Tower &amp; Corrugated Fill'!$C$12))-32)/1.8/((((C188+0.9*'Cooling Tower &amp; Corrugated Fill'!$C$12))-32)/1.8+243.04))))*(1061+0.444*((C188+0.9*'Cooling Tower &amp; Corrugated Fill'!$C$12))))-('Merkel Solver'!$C$4+'Cooling Tower &amp; Corrugated Fill'!$C$13*0.9*'Cooling Tower &amp; Corrugated Fill'!$C$12)</f>
        <v/>
      </c>
      <c r="H188" s="22">
        <f>IF(MIN(D188:G188)&lt;=0,99999,'Cooling Tower &amp; Corrugated Fill'!$C$12/4*(1/D188+1/E188+1/F188+1/G188))</f>
        <v/>
      </c>
    </row>
    <row r="189">
      <c r="B189" s="30" t="n">
        <v>18.3</v>
      </c>
      <c r="C189" s="12">
        <f>'Dashboard'!$C$9+B189</f>
        <v/>
      </c>
      <c r="D189" s="14">
        <f>(0.24*((C189+0.1*'Cooling Tower &amp; Corrugated Fill'!$C$12))+0.62198*(0.61094*EXP(17.625*(((C189+0.1*'Cooling Tower &amp; Corrugated Fill'!$C$12))-32)/1.8/((((C189+0.1*'Cooling Tower &amp; Corrugated Fill'!$C$12))-32)/1.8+243.04)))/('Cooling Tower &amp; Corrugated Fill'!$C$14-(0.61094*EXP(17.625*(((C189+0.1*'Cooling Tower &amp; Corrugated Fill'!$C$12))-32)/1.8/((((C189+0.1*'Cooling Tower &amp; Corrugated Fill'!$C$12))-32)/1.8+243.04))))*(1061+0.444*((C189+0.1*'Cooling Tower &amp; Corrugated Fill'!$C$12))))-('Merkel Solver'!$C$4+'Cooling Tower &amp; Corrugated Fill'!$C$13*0.1*'Cooling Tower &amp; Corrugated Fill'!$C$12)</f>
        <v/>
      </c>
      <c r="E189" s="14">
        <f>(0.24*((C189+0.4*'Cooling Tower &amp; Corrugated Fill'!$C$12))+0.62198*(0.61094*EXP(17.625*(((C189+0.4*'Cooling Tower &amp; Corrugated Fill'!$C$12))-32)/1.8/((((C189+0.4*'Cooling Tower &amp; Corrugated Fill'!$C$12))-32)/1.8+243.04)))/('Cooling Tower &amp; Corrugated Fill'!$C$14-(0.61094*EXP(17.625*(((C189+0.4*'Cooling Tower &amp; Corrugated Fill'!$C$12))-32)/1.8/((((C189+0.4*'Cooling Tower &amp; Corrugated Fill'!$C$12))-32)/1.8+243.04))))*(1061+0.444*((C189+0.4*'Cooling Tower &amp; Corrugated Fill'!$C$12))))-('Merkel Solver'!$C$4+'Cooling Tower &amp; Corrugated Fill'!$C$13*0.4*'Cooling Tower &amp; Corrugated Fill'!$C$12)</f>
        <v/>
      </c>
      <c r="F189" s="14">
        <f>(0.24*((C189+0.6*'Cooling Tower &amp; Corrugated Fill'!$C$12))+0.62198*(0.61094*EXP(17.625*(((C189+0.6*'Cooling Tower &amp; Corrugated Fill'!$C$12))-32)/1.8/((((C189+0.6*'Cooling Tower &amp; Corrugated Fill'!$C$12))-32)/1.8+243.04)))/('Cooling Tower &amp; Corrugated Fill'!$C$14-(0.61094*EXP(17.625*(((C189+0.6*'Cooling Tower &amp; Corrugated Fill'!$C$12))-32)/1.8/((((C189+0.6*'Cooling Tower &amp; Corrugated Fill'!$C$12))-32)/1.8+243.04))))*(1061+0.444*((C189+0.6*'Cooling Tower &amp; Corrugated Fill'!$C$12))))-('Merkel Solver'!$C$4+'Cooling Tower &amp; Corrugated Fill'!$C$13*0.6*'Cooling Tower &amp; Corrugated Fill'!$C$12)</f>
        <v/>
      </c>
      <c r="G189" s="14">
        <f>(0.24*((C189+0.9*'Cooling Tower &amp; Corrugated Fill'!$C$12))+0.62198*(0.61094*EXP(17.625*(((C189+0.9*'Cooling Tower &amp; Corrugated Fill'!$C$12))-32)/1.8/((((C189+0.9*'Cooling Tower &amp; Corrugated Fill'!$C$12))-32)/1.8+243.04)))/('Cooling Tower &amp; Corrugated Fill'!$C$14-(0.61094*EXP(17.625*(((C189+0.9*'Cooling Tower &amp; Corrugated Fill'!$C$12))-32)/1.8/((((C189+0.9*'Cooling Tower &amp; Corrugated Fill'!$C$12))-32)/1.8+243.04))))*(1061+0.444*((C189+0.9*'Cooling Tower &amp; Corrugated Fill'!$C$12))))-('Merkel Solver'!$C$4+'Cooling Tower &amp; Corrugated Fill'!$C$13*0.9*'Cooling Tower &amp; Corrugated Fill'!$C$12)</f>
        <v/>
      </c>
      <c r="H189" s="22">
        <f>IF(MIN(D189:G189)&lt;=0,99999,'Cooling Tower &amp; Corrugated Fill'!$C$12/4*(1/D189+1/E189+1/F189+1/G189))</f>
        <v/>
      </c>
    </row>
    <row r="190">
      <c r="B190" s="30" t="n">
        <v>18.4</v>
      </c>
      <c r="C190" s="12">
        <f>'Dashboard'!$C$9+B190</f>
        <v/>
      </c>
      <c r="D190" s="14">
        <f>(0.24*((C190+0.1*'Cooling Tower &amp; Corrugated Fill'!$C$12))+0.62198*(0.61094*EXP(17.625*(((C190+0.1*'Cooling Tower &amp; Corrugated Fill'!$C$12))-32)/1.8/((((C190+0.1*'Cooling Tower &amp; Corrugated Fill'!$C$12))-32)/1.8+243.04)))/('Cooling Tower &amp; Corrugated Fill'!$C$14-(0.61094*EXP(17.625*(((C190+0.1*'Cooling Tower &amp; Corrugated Fill'!$C$12))-32)/1.8/((((C190+0.1*'Cooling Tower &amp; Corrugated Fill'!$C$12))-32)/1.8+243.04))))*(1061+0.444*((C190+0.1*'Cooling Tower &amp; Corrugated Fill'!$C$12))))-('Merkel Solver'!$C$4+'Cooling Tower &amp; Corrugated Fill'!$C$13*0.1*'Cooling Tower &amp; Corrugated Fill'!$C$12)</f>
        <v/>
      </c>
      <c r="E190" s="14">
        <f>(0.24*((C190+0.4*'Cooling Tower &amp; Corrugated Fill'!$C$12))+0.62198*(0.61094*EXP(17.625*(((C190+0.4*'Cooling Tower &amp; Corrugated Fill'!$C$12))-32)/1.8/((((C190+0.4*'Cooling Tower &amp; Corrugated Fill'!$C$12))-32)/1.8+243.04)))/('Cooling Tower &amp; Corrugated Fill'!$C$14-(0.61094*EXP(17.625*(((C190+0.4*'Cooling Tower &amp; Corrugated Fill'!$C$12))-32)/1.8/((((C190+0.4*'Cooling Tower &amp; Corrugated Fill'!$C$12))-32)/1.8+243.04))))*(1061+0.444*((C190+0.4*'Cooling Tower &amp; Corrugated Fill'!$C$12))))-('Merkel Solver'!$C$4+'Cooling Tower &amp; Corrugated Fill'!$C$13*0.4*'Cooling Tower &amp; Corrugated Fill'!$C$12)</f>
        <v/>
      </c>
      <c r="F190" s="14">
        <f>(0.24*((C190+0.6*'Cooling Tower &amp; Corrugated Fill'!$C$12))+0.62198*(0.61094*EXP(17.625*(((C190+0.6*'Cooling Tower &amp; Corrugated Fill'!$C$12))-32)/1.8/((((C190+0.6*'Cooling Tower &amp; Corrugated Fill'!$C$12))-32)/1.8+243.04)))/('Cooling Tower &amp; Corrugated Fill'!$C$14-(0.61094*EXP(17.625*(((C190+0.6*'Cooling Tower &amp; Corrugated Fill'!$C$12))-32)/1.8/((((C190+0.6*'Cooling Tower &amp; Corrugated Fill'!$C$12))-32)/1.8+243.04))))*(1061+0.444*((C190+0.6*'Cooling Tower &amp; Corrugated Fill'!$C$12))))-('Merkel Solver'!$C$4+'Cooling Tower &amp; Corrugated Fill'!$C$13*0.6*'Cooling Tower &amp; Corrugated Fill'!$C$12)</f>
        <v/>
      </c>
      <c r="G190" s="14">
        <f>(0.24*((C190+0.9*'Cooling Tower &amp; Corrugated Fill'!$C$12))+0.62198*(0.61094*EXP(17.625*(((C190+0.9*'Cooling Tower &amp; Corrugated Fill'!$C$12))-32)/1.8/((((C190+0.9*'Cooling Tower &amp; Corrugated Fill'!$C$12))-32)/1.8+243.04)))/('Cooling Tower &amp; Corrugated Fill'!$C$14-(0.61094*EXP(17.625*(((C190+0.9*'Cooling Tower &amp; Corrugated Fill'!$C$12))-32)/1.8/((((C190+0.9*'Cooling Tower &amp; Corrugated Fill'!$C$12))-32)/1.8+243.04))))*(1061+0.444*((C190+0.9*'Cooling Tower &amp; Corrugated Fill'!$C$12))))-('Merkel Solver'!$C$4+'Cooling Tower &amp; Corrugated Fill'!$C$13*0.9*'Cooling Tower &amp; Corrugated Fill'!$C$12)</f>
        <v/>
      </c>
      <c r="H190" s="22">
        <f>IF(MIN(D190:G190)&lt;=0,99999,'Cooling Tower &amp; Corrugated Fill'!$C$12/4*(1/D190+1/E190+1/F190+1/G190))</f>
        <v/>
      </c>
    </row>
    <row r="191">
      <c r="B191" s="30" t="n">
        <v>18.5</v>
      </c>
      <c r="C191" s="12">
        <f>'Dashboard'!$C$9+B191</f>
        <v/>
      </c>
      <c r="D191" s="14">
        <f>(0.24*((C191+0.1*'Cooling Tower &amp; Corrugated Fill'!$C$12))+0.62198*(0.61094*EXP(17.625*(((C191+0.1*'Cooling Tower &amp; Corrugated Fill'!$C$12))-32)/1.8/((((C191+0.1*'Cooling Tower &amp; Corrugated Fill'!$C$12))-32)/1.8+243.04)))/('Cooling Tower &amp; Corrugated Fill'!$C$14-(0.61094*EXP(17.625*(((C191+0.1*'Cooling Tower &amp; Corrugated Fill'!$C$12))-32)/1.8/((((C191+0.1*'Cooling Tower &amp; Corrugated Fill'!$C$12))-32)/1.8+243.04))))*(1061+0.444*((C191+0.1*'Cooling Tower &amp; Corrugated Fill'!$C$12))))-('Merkel Solver'!$C$4+'Cooling Tower &amp; Corrugated Fill'!$C$13*0.1*'Cooling Tower &amp; Corrugated Fill'!$C$12)</f>
        <v/>
      </c>
      <c r="E191" s="14">
        <f>(0.24*((C191+0.4*'Cooling Tower &amp; Corrugated Fill'!$C$12))+0.62198*(0.61094*EXP(17.625*(((C191+0.4*'Cooling Tower &amp; Corrugated Fill'!$C$12))-32)/1.8/((((C191+0.4*'Cooling Tower &amp; Corrugated Fill'!$C$12))-32)/1.8+243.04)))/('Cooling Tower &amp; Corrugated Fill'!$C$14-(0.61094*EXP(17.625*(((C191+0.4*'Cooling Tower &amp; Corrugated Fill'!$C$12))-32)/1.8/((((C191+0.4*'Cooling Tower &amp; Corrugated Fill'!$C$12))-32)/1.8+243.04))))*(1061+0.444*((C191+0.4*'Cooling Tower &amp; Corrugated Fill'!$C$12))))-('Merkel Solver'!$C$4+'Cooling Tower &amp; Corrugated Fill'!$C$13*0.4*'Cooling Tower &amp; Corrugated Fill'!$C$12)</f>
        <v/>
      </c>
      <c r="F191" s="14">
        <f>(0.24*((C191+0.6*'Cooling Tower &amp; Corrugated Fill'!$C$12))+0.62198*(0.61094*EXP(17.625*(((C191+0.6*'Cooling Tower &amp; Corrugated Fill'!$C$12))-32)/1.8/((((C191+0.6*'Cooling Tower &amp; Corrugated Fill'!$C$12))-32)/1.8+243.04)))/('Cooling Tower &amp; Corrugated Fill'!$C$14-(0.61094*EXP(17.625*(((C191+0.6*'Cooling Tower &amp; Corrugated Fill'!$C$12))-32)/1.8/((((C191+0.6*'Cooling Tower &amp; Corrugated Fill'!$C$12))-32)/1.8+243.04))))*(1061+0.444*((C191+0.6*'Cooling Tower &amp; Corrugated Fill'!$C$12))))-('Merkel Solver'!$C$4+'Cooling Tower &amp; Corrugated Fill'!$C$13*0.6*'Cooling Tower &amp; Corrugated Fill'!$C$12)</f>
        <v/>
      </c>
      <c r="G191" s="14">
        <f>(0.24*((C191+0.9*'Cooling Tower &amp; Corrugated Fill'!$C$12))+0.62198*(0.61094*EXP(17.625*(((C191+0.9*'Cooling Tower &amp; Corrugated Fill'!$C$12))-32)/1.8/((((C191+0.9*'Cooling Tower &amp; Corrugated Fill'!$C$12))-32)/1.8+243.04)))/('Cooling Tower &amp; Corrugated Fill'!$C$14-(0.61094*EXP(17.625*(((C191+0.9*'Cooling Tower &amp; Corrugated Fill'!$C$12))-32)/1.8/((((C191+0.9*'Cooling Tower &amp; Corrugated Fill'!$C$12))-32)/1.8+243.04))))*(1061+0.444*((C191+0.9*'Cooling Tower &amp; Corrugated Fill'!$C$12))))-('Merkel Solver'!$C$4+'Cooling Tower &amp; Corrugated Fill'!$C$13*0.9*'Cooling Tower &amp; Corrugated Fill'!$C$12)</f>
        <v/>
      </c>
      <c r="H191" s="22">
        <f>IF(MIN(D191:G191)&lt;=0,99999,'Cooling Tower &amp; Corrugated Fill'!$C$12/4*(1/D191+1/E191+1/F191+1/G191))</f>
        <v/>
      </c>
    </row>
    <row r="192">
      <c r="B192" s="30" t="n">
        <v>18.6</v>
      </c>
      <c r="C192" s="12">
        <f>'Dashboard'!$C$9+B192</f>
        <v/>
      </c>
      <c r="D192" s="14">
        <f>(0.24*((C192+0.1*'Cooling Tower &amp; Corrugated Fill'!$C$12))+0.62198*(0.61094*EXP(17.625*(((C192+0.1*'Cooling Tower &amp; Corrugated Fill'!$C$12))-32)/1.8/((((C192+0.1*'Cooling Tower &amp; Corrugated Fill'!$C$12))-32)/1.8+243.04)))/('Cooling Tower &amp; Corrugated Fill'!$C$14-(0.61094*EXP(17.625*(((C192+0.1*'Cooling Tower &amp; Corrugated Fill'!$C$12))-32)/1.8/((((C192+0.1*'Cooling Tower &amp; Corrugated Fill'!$C$12))-32)/1.8+243.04))))*(1061+0.444*((C192+0.1*'Cooling Tower &amp; Corrugated Fill'!$C$12))))-('Merkel Solver'!$C$4+'Cooling Tower &amp; Corrugated Fill'!$C$13*0.1*'Cooling Tower &amp; Corrugated Fill'!$C$12)</f>
        <v/>
      </c>
      <c r="E192" s="14">
        <f>(0.24*((C192+0.4*'Cooling Tower &amp; Corrugated Fill'!$C$12))+0.62198*(0.61094*EXP(17.625*(((C192+0.4*'Cooling Tower &amp; Corrugated Fill'!$C$12))-32)/1.8/((((C192+0.4*'Cooling Tower &amp; Corrugated Fill'!$C$12))-32)/1.8+243.04)))/('Cooling Tower &amp; Corrugated Fill'!$C$14-(0.61094*EXP(17.625*(((C192+0.4*'Cooling Tower &amp; Corrugated Fill'!$C$12))-32)/1.8/((((C192+0.4*'Cooling Tower &amp; Corrugated Fill'!$C$12))-32)/1.8+243.04))))*(1061+0.444*((C192+0.4*'Cooling Tower &amp; Corrugated Fill'!$C$12))))-('Merkel Solver'!$C$4+'Cooling Tower &amp; Corrugated Fill'!$C$13*0.4*'Cooling Tower &amp; Corrugated Fill'!$C$12)</f>
        <v/>
      </c>
      <c r="F192" s="14">
        <f>(0.24*((C192+0.6*'Cooling Tower &amp; Corrugated Fill'!$C$12))+0.62198*(0.61094*EXP(17.625*(((C192+0.6*'Cooling Tower &amp; Corrugated Fill'!$C$12))-32)/1.8/((((C192+0.6*'Cooling Tower &amp; Corrugated Fill'!$C$12))-32)/1.8+243.04)))/('Cooling Tower &amp; Corrugated Fill'!$C$14-(0.61094*EXP(17.625*(((C192+0.6*'Cooling Tower &amp; Corrugated Fill'!$C$12))-32)/1.8/((((C192+0.6*'Cooling Tower &amp; Corrugated Fill'!$C$12))-32)/1.8+243.04))))*(1061+0.444*((C192+0.6*'Cooling Tower &amp; Corrugated Fill'!$C$12))))-('Merkel Solver'!$C$4+'Cooling Tower &amp; Corrugated Fill'!$C$13*0.6*'Cooling Tower &amp; Corrugated Fill'!$C$12)</f>
        <v/>
      </c>
      <c r="G192" s="14">
        <f>(0.24*((C192+0.9*'Cooling Tower &amp; Corrugated Fill'!$C$12))+0.62198*(0.61094*EXP(17.625*(((C192+0.9*'Cooling Tower &amp; Corrugated Fill'!$C$12))-32)/1.8/((((C192+0.9*'Cooling Tower &amp; Corrugated Fill'!$C$12))-32)/1.8+243.04)))/('Cooling Tower &amp; Corrugated Fill'!$C$14-(0.61094*EXP(17.625*(((C192+0.9*'Cooling Tower &amp; Corrugated Fill'!$C$12))-32)/1.8/((((C192+0.9*'Cooling Tower &amp; Corrugated Fill'!$C$12))-32)/1.8+243.04))))*(1061+0.444*((C192+0.9*'Cooling Tower &amp; Corrugated Fill'!$C$12))))-('Merkel Solver'!$C$4+'Cooling Tower &amp; Corrugated Fill'!$C$13*0.9*'Cooling Tower &amp; Corrugated Fill'!$C$12)</f>
        <v/>
      </c>
      <c r="H192" s="22">
        <f>IF(MIN(D192:G192)&lt;=0,99999,'Cooling Tower &amp; Corrugated Fill'!$C$12/4*(1/D192+1/E192+1/F192+1/G192))</f>
        <v/>
      </c>
    </row>
    <row r="193">
      <c r="B193" s="30" t="n">
        <v>18.7</v>
      </c>
      <c r="C193" s="12">
        <f>'Dashboard'!$C$9+B193</f>
        <v/>
      </c>
      <c r="D193" s="14">
        <f>(0.24*((C193+0.1*'Cooling Tower &amp; Corrugated Fill'!$C$12))+0.62198*(0.61094*EXP(17.625*(((C193+0.1*'Cooling Tower &amp; Corrugated Fill'!$C$12))-32)/1.8/((((C193+0.1*'Cooling Tower &amp; Corrugated Fill'!$C$12))-32)/1.8+243.04)))/('Cooling Tower &amp; Corrugated Fill'!$C$14-(0.61094*EXP(17.625*(((C193+0.1*'Cooling Tower &amp; Corrugated Fill'!$C$12))-32)/1.8/((((C193+0.1*'Cooling Tower &amp; Corrugated Fill'!$C$12))-32)/1.8+243.04))))*(1061+0.444*((C193+0.1*'Cooling Tower &amp; Corrugated Fill'!$C$12))))-('Merkel Solver'!$C$4+'Cooling Tower &amp; Corrugated Fill'!$C$13*0.1*'Cooling Tower &amp; Corrugated Fill'!$C$12)</f>
        <v/>
      </c>
      <c r="E193" s="14">
        <f>(0.24*((C193+0.4*'Cooling Tower &amp; Corrugated Fill'!$C$12))+0.62198*(0.61094*EXP(17.625*(((C193+0.4*'Cooling Tower &amp; Corrugated Fill'!$C$12))-32)/1.8/((((C193+0.4*'Cooling Tower &amp; Corrugated Fill'!$C$12))-32)/1.8+243.04)))/('Cooling Tower &amp; Corrugated Fill'!$C$14-(0.61094*EXP(17.625*(((C193+0.4*'Cooling Tower &amp; Corrugated Fill'!$C$12))-32)/1.8/((((C193+0.4*'Cooling Tower &amp; Corrugated Fill'!$C$12))-32)/1.8+243.04))))*(1061+0.444*((C193+0.4*'Cooling Tower &amp; Corrugated Fill'!$C$12))))-('Merkel Solver'!$C$4+'Cooling Tower &amp; Corrugated Fill'!$C$13*0.4*'Cooling Tower &amp; Corrugated Fill'!$C$12)</f>
        <v/>
      </c>
      <c r="F193" s="14">
        <f>(0.24*((C193+0.6*'Cooling Tower &amp; Corrugated Fill'!$C$12))+0.62198*(0.61094*EXP(17.625*(((C193+0.6*'Cooling Tower &amp; Corrugated Fill'!$C$12))-32)/1.8/((((C193+0.6*'Cooling Tower &amp; Corrugated Fill'!$C$12))-32)/1.8+243.04)))/('Cooling Tower &amp; Corrugated Fill'!$C$14-(0.61094*EXP(17.625*(((C193+0.6*'Cooling Tower &amp; Corrugated Fill'!$C$12))-32)/1.8/((((C193+0.6*'Cooling Tower &amp; Corrugated Fill'!$C$12))-32)/1.8+243.04))))*(1061+0.444*((C193+0.6*'Cooling Tower &amp; Corrugated Fill'!$C$12))))-('Merkel Solver'!$C$4+'Cooling Tower &amp; Corrugated Fill'!$C$13*0.6*'Cooling Tower &amp; Corrugated Fill'!$C$12)</f>
        <v/>
      </c>
      <c r="G193" s="14">
        <f>(0.24*((C193+0.9*'Cooling Tower &amp; Corrugated Fill'!$C$12))+0.62198*(0.61094*EXP(17.625*(((C193+0.9*'Cooling Tower &amp; Corrugated Fill'!$C$12))-32)/1.8/((((C193+0.9*'Cooling Tower &amp; Corrugated Fill'!$C$12))-32)/1.8+243.04)))/('Cooling Tower &amp; Corrugated Fill'!$C$14-(0.61094*EXP(17.625*(((C193+0.9*'Cooling Tower &amp; Corrugated Fill'!$C$12))-32)/1.8/((((C193+0.9*'Cooling Tower &amp; Corrugated Fill'!$C$12))-32)/1.8+243.04))))*(1061+0.444*((C193+0.9*'Cooling Tower &amp; Corrugated Fill'!$C$12))))-('Merkel Solver'!$C$4+'Cooling Tower &amp; Corrugated Fill'!$C$13*0.9*'Cooling Tower &amp; Corrugated Fill'!$C$12)</f>
        <v/>
      </c>
      <c r="H193" s="22">
        <f>IF(MIN(D193:G193)&lt;=0,99999,'Cooling Tower &amp; Corrugated Fill'!$C$12/4*(1/D193+1/E193+1/F193+1/G193))</f>
        <v/>
      </c>
    </row>
    <row r="194">
      <c r="B194" s="30" t="n">
        <v>18.8</v>
      </c>
      <c r="C194" s="12">
        <f>'Dashboard'!$C$9+B194</f>
        <v/>
      </c>
      <c r="D194" s="14">
        <f>(0.24*((C194+0.1*'Cooling Tower &amp; Corrugated Fill'!$C$12))+0.62198*(0.61094*EXP(17.625*(((C194+0.1*'Cooling Tower &amp; Corrugated Fill'!$C$12))-32)/1.8/((((C194+0.1*'Cooling Tower &amp; Corrugated Fill'!$C$12))-32)/1.8+243.04)))/('Cooling Tower &amp; Corrugated Fill'!$C$14-(0.61094*EXP(17.625*(((C194+0.1*'Cooling Tower &amp; Corrugated Fill'!$C$12))-32)/1.8/((((C194+0.1*'Cooling Tower &amp; Corrugated Fill'!$C$12))-32)/1.8+243.04))))*(1061+0.444*((C194+0.1*'Cooling Tower &amp; Corrugated Fill'!$C$12))))-('Merkel Solver'!$C$4+'Cooling Tower &amp; Corrugated Fill'!$C$13*0.1*'Cooling Tower &amp; Corrugated Fill'!$C$12)</f>
        <v/>
      </c>
      <c r="E194" s="14">
        <f>(0.24*((C194+0.4*'Cooling Tower &amp; Corrugated Fill'!$C$12))+0.62198*(0.61094*EXP(17.625*(((C194+0.4*'Cooling Tower &amp; Corrugated Fill'!$C$12))-32)/1.8/((((C194+0.4*'Cooling Tower &amp; Corrugated Fill'!$C$12))-32)/1.8+243.04)))/('Cooling Tower &amp; Corrugated Fill'!$C$14-(0.61094*EXP(17.625*(((C194+0.4*'Cooling Tower &amp; Corrugated Fill'!$C$12))-32)/1.8/((((C194+0.4*'Cooling Tower &amp; Corrugated Fill'!$C$12))-32)/1.8+243.04))))*(1061+0.444*((C194+0.4*'Cooling Tower &amp; Corrugated Fill'!$C$12))))-('Merkel Solver'!$C$4+'Cooling Tower &amp; Corrugated Fill'!$C$13*0.4*'Cooling Tower &amp; Corrugated Fill'!$C$12)</f>
        <v/>
      </c>
      <c r="F194" s="14">
        <f>(0.24*((C194+0.6*'Cooling Tower &amp; Corrugated Fill'!$C$12))+0.62198*(0.61094*EXP(17.625*(((C194+0.6*'Cooling Tower &amp; Corrugated Fill'!$C$12))-32)/1.8/((((C194+0.6*'Cooling Tower &amp; Corrugated Fill'!$C$12))-32)/1.8+243.04)))/('Cooling Tower &amp; Corrugated Fill'!$C$14-(0.61094*EXP(17.625*(((C194+0.6*'Cooling Tower &amp; Corrugated Fill'!$C$12))-32)/1.8/((((C194+0.6*'Cooling Tower &amp; Corrugated Fill'!$C$12))-32)/1.8+243.04))))*(1061+0.444*((C194+0.6*'Cooling Tower &amp; Corrugated Fill'!$C$12))))-('Merkel Solver'!$C$4+'Cooling Tower &amp; Corrugated Fill'!$C$13*0.6*'Cooling Tower &amp; Corrugated Fill'!$C$12)</f>
        <v/>
      </c>
      <c r="G194" s="14">
        <f>(0.24*((C194+0.9*'Cooling Tower &amp; Corrugated Fill'!$C$12))+0.62198*(0.61094*EXP(17.625*(((C194+0.9*'Cooling Tower &amp; Corrugated Fill'!$C$12))-32)/1.8/((((C194+0.9*'Cooling Tower &amp; Corrugated Fill'!$C$12))-32)/1.8+243.04)))/('Cooling Tower &amp; Corrugated Fill'!$C$14-(0.61094*EXP(17.625*(((C194+0.9*'Cooling Tower &amp; Corrugated Fill'!$C$12))-32)/1.8/((((C194+0.9*'Cooling Tower &amp; Corrugated Fill'!$C$12))-32)/1.8+243.04))))*(1061+0.444*((C194+0.9*'Cooling Tower &amp; Corrugated Fill'!$C$12))))-('Merkel Solver'!$C$4+'Cooling Tower &amp; Corrugated Fill'!$C$13*0.9*'Cooling Tower &amp; Corrugated Fill'!$C$12)</f>
        <v/>
      </c>
      <c r="H194" s="22">
        <f>IF(MIN(D194:G194)&lt;=0,99999,'Cooling Tower &amp; Corrugated Fill'!$C$12/4*(1/D194+1/E194+1/F194+1/G194))</f>
        <v/>
      </c>
    </row>
    <row r="195">
      <c r="B195" s="30" t="n">
        <v>18.9</v>
      </c>
      <c r="C195" s="12">
        <f>'Dashboard'!$C$9+B195</f>
        <v/>
      </c>
      <c r="D195" s="14">
        <f>(0.24*((C195+0.1*'Cooling Tower &amp; Corrugated Fill'!$C$12))+0.62198*(0.61094*EXP(17.625*(((C195+0.1*'Cooling Tower &amp; Corrugated Fill'!$C$12))-32)/1.8/((((C195+0.1*'Cooling Tower &amp; Corrugated Fill'!$C$12))-32)/1.8+243.04)))/('Cooling Tower &amp; Corrugated Fill'!$C$14-(0.61094*EXP(17.625*(((C195+0.1*'Cooling Tower &amp; Corrugated Fill'!$C$12))-32)/1.8/((((C195+0.1*'Cooling Tower &amp; Corrugated Fill'!$C$12))-32)/1.8+243.04))))*(1061+0.444*((C195+0.1*'Cooling Tower &amp; Corrugated Fill'!$C$12))))-('Merkel Solver'!$C$4+'Cooling Tower &amp; Corrugated Fill'!$C$13*0.1*'Cooling Tower &amp; Corrugated Fill'!$C$12)</f>
        <v/>
      </c>
      <c r="E195" s="14">
        <f>(0.24*((C195+0.4*'Cooling Tower &amp; Corrugated Fill'!$C$12))+0.62198*(0.61094*EXP(17.625*(((C195+0.4*'Cooling Tower &amp; Corrugated Fill'!$C$12))-32)/1.8/((((C195+0.4*'Cooling Tower &amp; Corrugated Fill'!$C$12))-32)/1.8+243.04)))/('Cooling Tower &amp; Corrugated Fill'!$C$14-(0.61094*EXP(17.625*(((C195+0.4*'Cooling Tower &amp; Corrugated Fill'!$C$12))-32)/1.8/((((C195+0.4*'Cooling Tower &amp; Corrugated Fill'!$C$12))-32)/1.8+243.04))))*(1061+0.444*((C195+0.4*'Cooling Tower &amp; Corrugated Fill'!$C$12))))-('Merkel Solver'!$C$4+'Cooling Tower &amp; Corrugated Fill'!$C$13*0.4*'Cooling Tower &amp; Corrugated Fill'!$C$12)</f>
        <v/>
      </c>
      <c r="F195" s="14">
        <f>(0.24*((C195+0.6*'Cooling Tower &amp; Corrugated Fill'!$C$12))+0.62198*(0.61094*EXP(17.625*(((C195+0.6*'Cooling Tower &amp; Corrugated Fill'!$C$12))-32)/1.8/((((C195+0.6*'Cooling Tower &amp; Corrugated Fill'!$C$12))-32)/1.8+243.04)))/('Cooling Tower &amp; Corrugated Fill'!$C$14-(0.61094*EXP(17.625*(((C195+0.6*'Cooling Tower &amp; Corrugated Fill'!$C$12))-32)/1.8/((((C195+0.6*'Cooling Tower &amp; Corrugated Fill'!$C$12))-32)/1.8+243.04))))*(1061+0.444*((C195+0.6*'Cooling Tower &amp; Corrugated Fill'!$C$12))))-('Merkel Solver'!$C$4+'Cooling Tower &amp; Corrugated Fill'!$C$13*0.6*'Cooling Tower &amp; Corrugated Fill'!$C$12)</f>
        <v/>
      </c>
      <c r="G195" s="14">
        <f>(0.24*((C195+0.9*'Cooling Tower &amp; Corrugated Fill'!$C$12))+0.62198*(0.61094*EXP(17.625*(((C195+0.9*'Cooling Tower &amp; Corrugated Fill'!$C$12))-32)/1.8/((((C195+0.9*'Cooling Tower &amp; Corrugated Fill'!$C$12))-32)/1.8+243.04)))/('Cooling Tower &amp; Corrugated Fill'!$C$14-(0.61094*EXP(17.625*(((C195+0.9*'Cooling Tower &amp; Corrugated Fill'!$C$12))-32)/1.8/((((C195+0.9*'Cooling Tower &amp; Corrugated Fill'!$C$12))-32)/1.8+243.04))))*(1061+0.444*((C195+0.9*'Cooling Tower &amp; Corrugated Fill'!$C$12))))-('Merkel Solver'!$C$4+'Cooling Tower &amp; Corrugated Fill'!$C$13*0.9*'Cooling Tower &amp; Corrugated Fill'!$C$12)</f>
        <v/>
      </c>
      <c r="H195" s="22">
        <f>IF(MIN(D195:G195)&lt;=0,99999,'Cooling Tower &amp; Corrugated Fill'!$C$12/4*(1/D195+1/E195+1/F195+1/G195))</f>
        <v/>
      </c>
    </row>
    <row r="196">
      <c r="B196" s="30" t="n">
        <v>19</v>
      </c>
      <c r="C196" s="12">
        <f>'Dashboard'!$C$9+B196</f>
        <v/>
      </c>
      <c r="D196" s="14">
        <f>(0.24*((C196+0.1*'Cooling Tower &amp; Corrugated Fill'!$C$12))+0.62198*(0.61094*EXP(17.625*(((C196+0.1*'Cooling Tower &amp; Corrugated Fill'!$C$12))-32)/1.8/((((C196+0.1*'Cooling Tower &amp; Corrugated Fill'!$C$12))-32)/1.8+243.04)))/('Cooling Tower &amp; Corrugated Fill'!$C$14-(0.61094*EXP(17.625*(((C196+0.1*'Cooling Tower &amp; Corrugated Fill'!$C$12))-32)/1.8/((((C196+0.1*'Cooling Tower &amp; Corrugated Fill'!$C$12))-32)/1.8+243.04))))*(1061+0.444*((C196+0.1*'Cooling Tower &amp; Corrugated Fill'!$C$12))))-('Merkel Solver'!$C$4+'Cooling Tower &amp; Corrugated Fill'!$C$13*0.1*'Cooling Tower &amp; Corrugated Fill'!$C$12)</f>
        <v/>
      </c>
      <c r="E196" s="14">
        <f>(0.24*((C196+0.4*'Cooling Tower &amp; Corrugated Fill'!$C$12))+0.62198*(0.61094*EXP(17.625*(((C196+0.4*'Cooling Tower &amp; Corrugated Fill'!$C$12))-32)/1.8/((((C196+0.4*'Cooling Tower &amp; Corrugated Fill'!$C$12))-32)/1.8+243.04)))/('Cooling Tower &amp; Corrugated Fill'!$C$14-(0.61094*EXP(17.625*(((C196+0.4*'Cooling Tower &amp; Corrugated Fill'!$C$12))-32)/1.8/((((C196+0.4*'Cooling Tower &amp; Corrugated Fill'!$C$12))-32)/1.8+243.04))))*(1061+0.444*((C196+0.4*'Cooling Tower &amp; Corrugated Fill'!$C$12))))-('Merkel Solver'!$C$4+'Cooling Tower &amp; Corrugated Fill'!$C$13*0.4*'Cooling Tower &amp; Corrugated Fill'!$C$12)</f>
        <v/>
      </c>
      <c r="F196" s="14">
        <f>(0.24*((C196+0.6*'Cooling Tower &amp; Corrugated Fill'!$C$12))+0.62198*(0.61094*EXP(17.625*(((C196+0.6*'Cooling Tower &amp; Corrugated Fill'!$C$12))-32)/1.8/((((C196+0.6*'Cooling Tower &amp; Corrugated Fill'!$C$12))-32)/1.8+243.04)))/('Cooling Tower &amp; Corrugated Fill'!$C$14-(0.61094*EXP(17.625*(((C196+0.6*'Cooling Tower &amp; Corrugated Fill'!$C$12))-32)/1.8/((((C196+0.6*'Cooling Tower &amp; Corrugated Fill'!$C$12))-32)/1.8+243.04))))*(1061+0.444*((C196+0.6*'Cooling Tower &amp; Corrugated Fill'!$C$12))))-('Merkel Solver'!$C$4+'Cooling Tower &amp; Corrugated Fill'!$C$13*0.6*'Cooling Tower &amp; Corrugated Fill'!$C$12)</f>
        <v/>
      </c>
      <c r="G196" s="14">
        <f>(0.24*((C196+0.9*'Cooling Tower &amp; Corrugated Fill'!$C$12))+0.62198*(0.61094*EXP(17.625*(((C196+0.9*'Cooling Tower &amp; Corrugated Fill'!$C$12))-32)/1.8/((((C196+0.9*'Cooling Tower &amp; Corrugated Fill'!$C$12))-32)/1.8+243.04)))/('Cooling Tower &amp; Corrugated Fill'!$C$14-(0.61094*EXP(17.625*(((C196+0.9*'Cooling Tower &amp; Corrugated Fill'!$C$12))-32)/1.8/((((C196+0.9*'Cooling Tower &amp; Corrugated Fill'!$C$12))-32)/1.8+243.04))))*(1061+0.444*((C196+0.9*'Cooling Tower &amp; Corrugated Fill'!$C$12))))-('Merkel Solver'!$C$4+'Cooling Tower &amp; Corrugated Fill'!$C$13*0.9*'Cooling Tower &amp; Corrugated Fill'!$C$12)</f>
        <v/>
      </c>
      <c r="H196" s="22">
        <f>IF(MIN(D196:G196)&lt;=0,99999,'Cooling Tower &amp; Corrugated Fill'!$C$12/4*(1/D196+1/E196+1/F196+1/G196))</f>
        <v/>
      </c>
    </row>
    <row r="197">
      <c r="B197" s="30" t="n">
        <v>19.1</v>
      </c>
      <c r="C197" s="12">
        <f>'Dashboard'!$C$9+B197</f>
        <v/>
      </c>
      <c r="D197" s="14">
        <f>(0.24*((C197+0.1*'Cooling Tower &amp; Corrugated Fill'!$C$12))+0.62198*(0.61094*EXP(17.625*(((C197+0.1*'Cooling Tower &amp; Corrugated Fill'!$C$12))-32)/1.8/((((C197+0.1*'Cooling Tower &amp; Corrugated Fill'!$C$12))-32)/1.8+243.04)))/('Cooling Tower &amp; Corrugated Fill'!$C$14-(0.61094*EXP(17.625*(((C197+0.1*'Cooling Tower &amp; Corrugated Fill'!$C$12))-32)/1.8/((((C197+0.1*'Cooling Tower &amp; Corrugated Fill'!$C$12))-32)/1.8+243.04))))*(1061+0.444*((C197+0.1*'Cooling Tower &amp; Corrugated Fill'!$C$12))))-('Merkel Solver'!$C$4+'Cooling Tower &amp; Corrugated Fill'!$C$13*0.1*'Cooling Tower &amp; Corrugated Fill'!$C$12)</f>
        <v/>
      </c>
      <c r="E197" s="14">
        <f>(0.24*((C197+0.4*'Cooling Tower &amp; Corrugated Fill'!$C$12))+0.62198*(0.61094*EXP(17.625*(((C197+0.4*'Cooling Tower &amp; Corrugated Fill'!$C$12))-32)/1.8/((((C197+0.4*'Cooling Tower &amp; Corrugated Fill'!$C$12))-32)/1.8+243.04)))/('Cooling Tower &amp; Corrugated Fill'!$C$14-(0.61094*EXP(17.625*(((C197+0.4*'Cooling Tower &amp; Corrugated Fill'!$C$12))-32)/1.8/((((C197+0.4*'Cooling Tower &amp; Corrugated Fill'!$C$12))-32)/1.8+243.04))))*(1061+0.444*((C197+0.4*'Cooling Tower &amp; Corrugated Fill'!$C$12))))-('Merkel Solver'!$C$4+'Cooling Tower &amp; Corrugated Fill'!$C$13*0.4*'Cooling Tower &amp; Corrugated Fill'!$C$12)</f>
        <v/>
      </c>
      <c r="F197" s="14">
        <f>(0.24*((C197+0.6*'Cooling Tower &amp; Corrugated Fill'!$C$12))+0.62198*(0.61094*EXP(17.625*(((C197+0.6*'Cooling Tower &amp; Corrugated Fill'!$C$12))-32)/1.8/((((C197+0.6*'Cooling Tower &amp; Corrugated Fill'!$C$12))-32)/1.8+243.04)))/('Cooling Tower &amp; Corrugated Fill'!$C$14-(0.61094*EXP(17.625*(((C197+0.6*'Cooling Tower &amp; Corrugated Fill'!$C$12))-32)/1.8/((((C197+0.6*'Cooling Tower &amp; Corrugated Fill'!$C$12))-32)/1.8+243.04))))*(1061+0.444*((C197+0.6*'Cooling Tower &amp; Corrugated Fill'!$C$12))))-('Merkel Solver'!$C$4+'Cooling Tower &amp; Corrugated Fill'!$C$13*0.6*'Cooling Tower &amp; Corrugated Fill'!$C$12)</f>
        <v/>
      </c>
      <c r="G197" s="14">
        <f>(0.24*((C197+0.9*'Cooling Tower &amp; Corrugated Fill'!$C$12))+0.62198*(0.61094*EXP(17.625*(((C197+0.9*'Cooling Tower &amp; Corrugated Fill'!$C$12))-32)/1.8/((((C197+0.9*'Cooling Tower &amp; Corrugated Fill'!$C$12))-32)/1.8+243.04)))/('Cooling Tower &amp; Corrugated Fill'!$C$14-(0.61094*EXP(17.625*(((C197+0.9*'Cooling Tower &amp; Corrugated Fill'!$C$12))-32)/1.8/((((C197+0.9*'Cooling Tower &amp; Corrugated Fill'!$C$12))-32)/1.8+243.04))))*(1061+0.444*((C197+0.9*'Cooling Tower &amp; Corrugated Fill'!$C$12))))-('Merkel Solver'!$C$4+'Cooling Tower &amp; Corrugated Fill'!$C$13*0.9*'Cooling Tower &amp; Corrugated Fill'!$C$12)</f>
        <v/>
      </c>
      <c r="H197" s="22">
        <f>IF(MIN(D197:G197)&lt;=0,99999,'Cooling Tower &amp; Corrugated Fill'!$C$12/4*(1/D197+1/E197+1/F197+1/G197))</f>
        <v/>
      </c>
    </row>
    <row r="198">
      <c r="B198" s="30" t="n">
        <v>19.2</v>
      </c>
      <c r="C198" s="12">
        <f>'Dashboard'!$C$9+B198</f>
        <v/>
      </c>
      <c r="D198" s="14">
        <f>(0.24*((C198+0.1*'Cooling Tower &amp; Corrugated Fill'!$C$12))+0.62198*(0.61094*EXP(17.625*(((C198+0.1*'Cooling Tower &amp; Corrugated Fill'!$C$12))-32)/1.8/((((C198+0.1*'Cooling Tower &amp; Corrugated Fill'!$C$12))-32)/1.8+243.04)))/('Cooling Tower &amp; Corrugated Fill'!$C$14-(0.61094*EXP(17.625*(((C198+0.1*'Cooling Tower &amp; Corrugated Fill'!$C$12))-32)/1.8/((((C198+0.1*'Cooling Tower &amp; Corrugated Fill'!$C$12))-32)/1.8+243.04))))*(1061+0.444*((C198+0.1*'Cooling Tower &amp; Corrugated Fill'!$C$12))))-('Merkel Solver'!$C$4+'Cooling Tower &amp; Corrugated Fill'!$C$13*0.1*'Cooling Tower &amp; Corrugated Fill'!$C$12)</f>
        <v/>
      </c>
      <c r="E198" s="14">
        <f>(0.24*((C198+0.4*'Cooling Tower &amp; Corrugated Fill'!$C$12))+0.62198*(0.61094*EXP(17.625*(((C198+0.4*'Cooling Tower &amp; Corrugated Fill'!$C$12))-32)/1.8/((((C198+0.4*'Cooling Tower &amp; Corrugated Fill'!$C$12))-32)/1.8+243.04)))/('Cooling Tower &amp; Corrugated Fill'!$C$14-(0.61094*EXP(17.625*(((C198+0.4*'Cooling Tower &amp; Corrugated Fill'!$C$12))-32)/1.8/((((C198+0.4*'Cooling Tower &amp; Corrugated Fill'!$C$12))-32)/1.8+243.04))))*(1061+0.444*((C198+0.4*'Cooling Tower &amp; Corrugated Fill'!$C$12))))-('Merkel Solver'!$C$4+'Cooling Tower &amp; Corrugated Fill'!$C$13*0.4*'Cooling Tower &amp; Corrugated Fill'!$C$12)</f>
        <v/>
      </c>
      <c r="F198" s="14">
        <f>(0.24*((C198+0.6*'Cooling Tower &amp; Corrugated Fill'!$C$12))+0.62198*(0.61094*EXP(17.625*(((C198+0.6*'Cooling Tower &amp; Corrugated Fill'!$C$12))-32)/1.8/((((C198+0.6*'Cooling Tower &amp; Corrugated Fill'!$C$12))-32)/1.8+243.04)))/('Cooling Tower &amp; Corrugated Fill'!$C$14-(0.61094*EXP(17.625*(((C198+0.6*'Cooling Tower &amp; Corrugated Fill'!$C$12))-32)/1.8/((((C198+0.6*'Cooling Tower &amp; Corrugated Fill'!$C$12))-32)/1.8+243.04))))*(1061+0.444*((C198+0.6*'Cooling Tower &amp; Corrugated Fill'!$C$12))))-('Merkel Solver'!$C$4+'Cooling Tower &amp; Corrugated Fill'!$C$13*0.6*'Cooling Tower &amp; Corrugated Fill'!$C$12)</f>
        <v/>
      </c>
      <c r="G198" s="14">
        <f>(0.24*((C198+0.9*'Cooling Tower &amp; Corrugated Fill'!$C$12))+0.62198*(0.61094*EXP(17.625*(((C198+0.9*'Cooling Tower &amp; Corrugated Fill'!$C$12))-32)/1.8/((((C198+0.9*'Cooling Tower &amp; Corrugated Fill'!$C$12))-32)/1.8+243.04)))/('Cooling Tower &amp; Corrugated Fill'!$C$14-(0.61094*EXP(17.625*(((C198+0.9*'Cooling Tower &amp; Corrugated Fill'!$C$12))-32)/1.8/((((C198+0.9*'Cooling Tower &amp; Corrugated Fill'!$C$12))-32)/1.8+243.04))))*(1061+0.444*((C198+0.9*'Cooling Tower &amp; Corrugated Fill'!$C$12))))-('Merkel Solver'!$C$4+'Cooling Tower &amp; Corrugated Fill'!$C$13*0.9*'Cooling Tower &amp; Corrugated Fill'!$C$12)</f>
        <v/>
      </c>
      <c r="H198" s="22">
        <f>IF(MIN(D198:G198)&lt;=0,99999,'Cooling Tower &amp; Corrugated Fill'!$C$12/4*(1/D198+1/E198+1/F198+1/G198))</f>
        <v/>
      </c>
    </row>
    <row r="199">
      <c r="B199" s="30" t="n">
        <v>19.3</v>
      </c>
      <c r="C199" s="12">
        <f>'Dashboard'!$C$9+B199</f>
        <v/>
      </c>
      <c r="D199" s="14">
        <f>(0.24*((C199+0.1*'Cooling Tower &amp; Corrugated Fill'!$C$12))+0.62198*(0.61094*EXP(17.625*(((C199+0.1*'Cooling Tower &amp; Corrugated Fill'!$C$12))-32)/1.8/((((C199+0.1*'Cooling Tower &amp; Corrugated Fill'!$C$12))-32)/1.8+243.04)))/('Cooling Tower &amp; Corrugated Fill'!$C$14-(0.61094*EXP(17.625*(((C199+0.1*'Cooling Tower &amp; Corrugated Fill'!$C$12))-32)/1.8/((((C199+0.1*'Cooling Tower &amp; Corrugated Fill'!$C$12))-32)/1.8+243.04))))*(1061+0.444*((C199+0.1*'Cooling Tower &amp; Corrugated Fill'!$C$12))))-('Merkel Solver'!$C$4+'Cooling Tower &amp; Corrugated Fill'!$C$13*0.1*'Cooling Tower &amp; Corrugated Fill'!$C$12)</f>
        <v/>
      </c>
      <c r="E199" s="14">
        <f>(0.24*((C199+0.4*'Cooling Tower &amp; Corrugated Fill'!$C$12))+0.62198*(0.61094*EXP(17.625*(((C199+0.4*'Cooling Tower &amp; Corrugated Fill'!$C$12))-32)/1.8/((((C199+0.4*'Cooling Tower &amp; Corrugated Fill'!$C$12))-32)/1.8+243.04)))/('Cooling Tower &amp; Corrugated Fill'!$C$14-(0.61094*EXP(17.625*(((C199+0.4*'Cooling Tower &amp; Corrugated Fill'!$C$12))-32)/1.8/((((C199+0.4*'Cooling Tower &amp; Corrugated Fill'!$C$12))-32)/1.8+243.04))))*(1061+0.444*((C199+0.4*'Cooling Tower &amp; Corrugated Fill'!$C$12))))-('Merkel Solver'!$C$4+'Cooling Tower &amp; Corrugated Fill'!$C$13*0.4*'Cooling Tower &amp; Corrugated Fill'!$C$12)</f>
        <v/>
      </c>
      <c r="F199" s="14">
        <f>(0.24*((C199+0.6*'Cooling Tower &amp; Corrugated Fill'!$C$12))+0.62198*(0.61094*EXP(17.625*(((C199+0.6*'Cooling Tower &amp; Corrugated Fill'!$C$12))-32)/1.8/((((C199+0.6*'Cooling Tower &amp; Corrugated Fill'!$C$12))-32)/1.8+243.04)))/('Cooling Tower &amp; Corrugated Fill'!$C$14-(0.61094*EXP(17.625*(((C199+0.6*'Cooling Tower &amp; Corrugated Fill'!$C$12))-32)/1.8/((((C199+0.6*'Cooling Tower &amp; Corrugated Fill'!$C$12))-32)/1.8+243.04))))*(1061+0.444*((C199+0.6*'Cooling Tower &amp; Corrugated Fill'!$C$12))))-('Merkel Solver'!$C$4+'Cooling Tower &amp; Corrugated Fill'!$C$13*0.6*'Cooling Tower &amp; Corrugated Fill'!$C$12)</f>
        <v/>
      </c>
      <c r="G199" s="14">
        <f>(0.24*((C199+0.9*'Cooling Tower &amp; Corrugated Fill'!$C$12))+0.62198*(0.61094*EXP(17.625*(((C199+0.9*'Cooling Tower &amp; Corrugated Fill'!$C$12))-32)/1.8/((((C199+0.9*'Cooling Tower &amp; Corrugated Fill'!$C$12))-32)/1.8+243.04)))/('Cooling Tower &amp; Corrugated Fill'!$C$14-(0.61094*EXP(17.625*(((C199+0.9*'Cooling Tower &amp; Corrugated Fill'!$C$12))-32)/1.8/((((C199+0.9*'Cooling Tower &amp; Corrugated Fill'!$C$12))-32)/1.8+243.04))))*(1061+0.444*((C199+0.9*'Cooling Tower &amp; Corrugated Fill'!$C$12))))-('Merkel Solver'!$C$4+'Cooling Tower &amp; Corrugated Fill'!$C$13*0.9*'Cooling Tower &amp; Corrugated Fill'!$C$12)</f>
        <v/>
      </c>
      <c r="H199" s="22">
        <f>IF(MIN(D199:G199)&lt;=0,99999,'Cooling Tower &amp; Corrugated Fill'!$C$12/4*(1/D199+1/E199+1/F199+1/G199))</f>
        <v/>
      </c>
    </row>
    <row r="200">
      <c r="B200" s="30" t="n">
        <v>19.4</v>
      </c>
      <c r="C200" s="12">
        <f>'Dashboard'!$C$9+B200</f>
        <v/>
      </c>
      <c r="D200" s="14">
        <f>(0.24*((C200+0.1*'Cooling Tower &amp; Corrugated Fill'!$C$12))+0.62198*(0.61094*EXP(17.625*(((C200+0.1*'Cooling Tower &amp; Corrugated Fill'!$C$12))-32)/1.8/((((C200+0.1*'Cooling Tower &amp; Corrugated Fill'!$C$12))-32)/1.8+243.04)))/('Cooling Tower &amp; Corrugated Fill'!$C$14-(0.61094*EXP(17.625*(((C200+0.1*'Cooling Tower &amp; Corrugated Fill'!$C$12))-32)/1.8/((((C200+0.1*'Cooling Tower &amp; Corrugated Fill'!$C$12))-32)/1.8+243.04))))*(1061+0.444*((C200+0.1*'Cooling Tower &amp; Corrugated Fill'!$C$12))))-('Merkel Solver'!$C$4+'Cooling Tower &amp; Corrugated Fill'!$C$13*0.1*'Cooling Tower &amp; Corrugated Fill'!$C$12)</f>
        <v/>
      </c>
      <c r="E200" s="14">
        <f>(0.24*((C200+0.4*'Cooling Tower &amp; Corrugated Fill'!$C$12))+0.62198*(0.61094*EXP(17.625*(((C200+0.4*'Cooling Tower &amp; Corrugated Fill'!$C$12))-32)/1.8/((((C200+0.4*'Cooling Tower &amp; Corrugated Fill'!$C$12))-32)/1.8+243.04)))/('Cooling Tower &amp; Corrugated Fill'!$C$14-(0.61094*EXP(17.625*(((C200+0.4*'Cooling Tower &amp; Corrugated Fill'!$C$12))-32)/1.8/((((C200+0.4*'Cooling Tower &amp; Corrugated Fill'!$C$12))-32)/1.8+243.04))))*(1061+0.444*((C200+0.4*'Cooling Tower &amp; Corrugated Fill'!$C$12))))-('Merkel Solver'!$C$4+'Cooling Tower &amp; Corrugated Fill'!$C$13*0.4*'Cooling Tower &amp; Corrugated Fill'!$C$12)</f>
        <v/>
      </c>
      <c r="F200" s="14">
        <f>(0.24*((C200+0.6*'Cooling Tower &amp; Corrugated Fill'!$C$12))+0.62198*(0.61094*EXP(17.625*(((C200+0.6*'Cooling Tower &amp; Corrugated Fill'!$C$12))-32)/1.8/((((C200+0.6*'Cooling Tower &amp; Corrugated Fill'!$C$12))-32)/1.8+243.04)))/('Cooling Tower &amp; Corrugated Fill'!$C$14-(0.61094*EXP(17.625*(((C200+0.6*'Cooling Tower &amp; Corrugated Fill'!$C$12))-32)/1.8/((((C200+0.6*'Cooling Tower &amp; Corrugated Fill'!$C$12))-32)/1.8+243.04))))*(1061+0.444*((C200+0.6*'Cooling Tower &amp; Corrugated Fill'!$C$12))))-('Merkel Solver'!$C$4+'Cooling Tower &amp; Corrugated Fill'!$C$13*0.6*'Cooling Tower &amp; Corrugated Fill'!$C$12)</f>
        <v/>
      </c>
      <c r="G200" s="14">
        <f>(0.24*((C200+0.9*'Cooling Tower &amp; Corrugated Fill'!$C$12))+0.62198*(0.61094*EXP(17.625*(((C200+0.9*'Cooling Tower &amp; Corrugated Fill'!$C$12))-32)/1.8/((((C200+0.9*'Cooling Tower &amp; Corrugated Fill'!$C$12))-32)/1.8+243.04)))/('Cooling Tower &amp; Corrugated Fill'!$C$14-(0.61094*EXP(17.625*(((C200+0.9*'Cooling Tower &amp; Corrugated Fill'!$C$12))-32)/1.8/((((C200+0.9*'Cooling Tower &amp; Corrugated Fill'!$C$12))-32)/1.8+243.04))))*(1061+0.444*((C200+0.9*'Cooling Tower &amp; Corrugated Fill'!$C$12))))-('Merkel Solver'!$C$4+'Cooling Tower &amp; Corrugated Fill'!$C$13*0.9*'Cooling Tower &amp; Corrugated Fill'!$C$12)</f>
        <v/>
      </c>
      <c r="H200" s="22">
        <f>IF(MIN(D200:G200)&lt;=0,99999,'Cooling Tower &amp; Corrugated Fill'!$C$12/4*(1/D200+1/E200+1/F200+1/G200))</f>
        <v/>
      </c>
    </row>
    <row r="201">
      <c r="B201" s="30" t="n">
        <v>19.5</v>
      </c>
      <c r="C201" s="12">
        <f>'Dashboard'!$C$9+B201</f>
        <v/>
      </c>
      <c r="D201" s="14">
        <f>(0.24*((C201+0.1*'Cooling Tower &amp; Corrugated Fill'!$C$12))+0.62198*(0.61094*EXP(17.625*(((C201+0.1*'Cooling Tower &amp; Corrugated Fill'!$C$12))-32)/1.8/((((C201+0.1*'Cooling Tower &amp; Corrugated Fill'!$C$12))-32)/1.8+243.04)))/('Cooling Tower &amp; Corrugated Fill'!$C$14-(0.61094*EXP(17.625*(((C201+0.1*'Cooling Tower &amp; Corrugated Fill'!$C$12))-32)/1.8/((((C201+0.1*'Cooling Tower &amp; Corrugated Fill'!$C$12))-32)/1.8+243.04))))*(1061+0.444*((C201+0.1*'Cooling Tower &amp; Corrugated Fill'!$C$12))))-('Merkel Solver'!$C$4+'Cooling Tower &amp; Corrugated Fill'!$C$13*0.1*'Cooling Tower &amp; Corrugated Fill'!$C$12)</f>
        <v/>
      </c>
      <c r="E201" s="14">
        <f>(0.24*((C201+0.4*'Cooling Tower &amp; Corrugated Fill'!$C$12))+0.62198*(0.61094*EXP(17.625*(((C201+0.4*'Cooling Tower &amp; Corrugated Fill'!$C$12))-32)/1.8/((((C201+0.4*'Cooling Tower &amp; Corrugated Fill'!$C$12))-32)/1.8+243.04)))/('Cooling Tower &amp; Corrugated Fill'!$C$14-(0.61094*EXP(17.625*(((C201+0.4*'Cooling Tower &amp; Corrugated Fill'!$C$12))-32)/1.8/((((C201+0.4*'Cooling Tower &amp; Corrugated Fill'!$C$12))-32)/1.8+243.04))))*(1061+0.444*((C201+0.4*'Cooling Tower &amp; Corrugated Fill'!$C$12))))-('Merkel Solver'!$C$4+'Cooling Tower &amp; Corrugated Fill'!$C$13*0.4*'Cooling Tower &amp; Corrugated Fill'!$C$12)</f>
        <v/>
      </c>
      <c r="F201" s="14">
        <f>(0.24*((C201+0.6*'Cooling Tower &amp; Corrugated Fill'!$C$12))+0.62198*(0.61094*EXP(17.625*(((C201+0.6*'Cooling Tower &amp; Corrugated Fill'!$C$12))-32)/1.8/((((C201+0.6*'Cooling Tower &amp; Corrugated Fill'!$C$12))-32)/1.8+243.04)))/('Cooling Tower &amp; Corrugated Fill'!$C$14-(0.61094*EXP(17.625*(((C201+0.6*'Cooling Tower &amp; Corrugated Fill'!$C$12))-32)/1.8/((((C201+0.6*'Cooling Tower &amp; Corrugated Fill'!$C$12))-32)/1.8+243.04))))*(1061+0.444*((C201+0.6*'Cooling Tower &amp; Corrugated Fill'!$C$12))))-('Merkel Solver'!$C$4+'Cooling Tower &amp; Corrugated Fill'!$C$13*0.6*'Cooling Tower &amp; Corrugated Fill'!$C$12)</f>
        <v/>
      </c>
      <c r="G201" s="14">
        <f>(0.24*((C201+0.9*'Cooling Tower &amp; Corrugated Fill'!$C$12))+0.62198*(0.61094*EXP(17.625*(((C201+0.9*'Cooling Tower &amp; Corrugated Fill'!$C$12))-32)/1.8/((((C201+0.9*'Cooling Tower &amp; Corrugated Fill'!$C$12))-32)/1.8+243.04)))/('Cooling Tower &amp; Corrugated Fill'!$C$14-(0.61094*EXP(17.625*(((C201+0.9*'Cooling Tower &amp; Corrugated Fill'!$C$12))-32)/1.8/((((C201+0.9*'Cooling Tower &amp; Corrugated Fill'!$C$12))-32)/1.8+243.04))))*(1061+0.444*((C201+0.9*'Cooling Tower &amp; Corrugated Fill'!$C$12))))-('Merkel Solver'!$C$4+'Cooling Tower &amp; Corrugated Fill'!$C$13*0.9*'Cooling Tower &amp; Corrugated Fill'!$C$12)</f>
        <v/>
      </c>
      <c r="H201" s="22">
        <f>IF(MIN(D201:G201)&lt;=0,99999,'Cooling Tower &amp; Corrugated Fill'!$C$12/4*(1/D201+1/E201+1/F201+1/G201))</f>
        <v/>
      </c>
    </row>
    <row r="202">
      <c r="B202" s="30" t="n">
        <v>19.6</v>
      </c>
      <c r="C202" s="12">
        <f>'Dashboard'!$C$9+B202</f>
        <v/>
      </c>
      <c r="D202" s="14">
        <f>(0.24*((C202+0.1*'Cooling Tower &amp; Corrugated Fill'!$C$12))+0.62198*(0.61094*EXP(17.625*(((C202+0.1*'Cooling Tower &amp; Corrugated Fill'!$C$12))-32)/1.8/((((C202+0.1*'Cooling Tower &amp; Corrugated Fill'!$C$12))-32)/1.8+243.04)))/('Cooling Tower &amp; Corrugated Fill'!$C$14-(0.61094*EXP(17.625*(((C202+0.1*'Cooling Tower &amp; Corrugated Fill'!$C$12))-32)/1.8/((((C202+0.1*'Cooling Tower &amp; Corrugated Fill'!$C$12))-32)/1.8+243.04))))*(1061+0.444*((C202+0.1*'Cooling Tower &amp; Corrugated Fill'!$C$12))))-('Merkel Solver'!$C$4+'Cooling Tower &amp; Corrugated Fill'!$C$13*0.1*'Cooling Tower &amp; Corrugated Fill'!$C$12)</f>
        <v/>
      </c>
      <c r="E202" s="14">
        <f>(0.24*((C202+0.4*'Cooling Tower &amp; Corrugated Fill'!$C$12))+0.62198*(0.61094*EXP(17.625*(((C202+0.4*'Cooling Tower &amp; Corrugated Fill'!$C$12))-32)/1.8/((((C202+0.4*'Cooling Tower &amp; Corrugated Fill'!$C$12))-32)/1.8+243.04)))/('Cooling Tower &amp; Corrugated Fill'!$C$14-(0.61094*EXP(17.625*(((C202+0.4*'Cooling Tower &amp; Corrugated Fill'!$C$12))-32)/1.8/((((C202+0.4*'Cooling Tower &amp; Corrugated Fill'!$C$12))-32)/1.8+243.04))))*(1061+0.444*((C202+0.4*'Cooling Tower &amp; Corrugated Fill'!$C$12))))-('Merkel Solver'!$C$4+'Cooling Tower &amp; Corrugated Fill'!$C$13*0.4*'Cooling Tower &amp; Corrugated Fill'!$C$12)</f>
        <v/>
      </c>
      <c r="F202" s="14">
        <f>(0.24*((C202+0.6*'Cooling Tower &amp; Corrugated Fill'!$C$12))+0.62198*(0.61094*EXP(17.625*(((C202+0.6*'Cooling Tower &amp; Corrugated Fill'!$C$12))-32)/1.8/((((C202+0.6*'Cooling Tower &amp; Corrugated Fill'!$C$12))-32)/1.8+243.04)))/('Cooling Tower &amp; Corrugated Fill'!$C$14-(0.61094*EXP(17.625*(((C202+0.6*'Cooling Tower &amp; Corrugated Fill'!$C$12))-32)/1.8/((((C202+0.6*'Cooling Tower &amp; Corrugated Fill'!$C$12))-32)/1.8+243.04))))*(1061+0.444*((C202+0.6*'Cooling Tower &amp; Corrugated Fill'!$C$12))))-('Merkel Solver'!$C$4+'Cooling Tower &amp; Corrugated Fill'!$C$13*0.6*'Cooling Tower &amp; Corrugated Fill'!$C$12)</f>
        <v/>
      </c>
      <c r="G202" s="14">
        <f>(0.24*((C202+0.9*'Cooling Tower &amp; Corrugated Fill'!$C$12))+0.62198*(0.61094*EXP(17.625*(((C202+0.9*'Cooling Tower &amp; Corrugated Fill'!$C$12))-32)/1.8/((((C202+0.9*'Cooling Tower &amp; Corrugated Fill'!$C$12))-32)/1.8+243.04)))/('Cooling Tower &amp; Corrugated Fill'!$C$14-(0.61094*EXP(17.625*(((C202+0.9*'Cooling Tower &amp; Corrugated Fill'!$C$12))-32)/1.8/((((C202+0.9*'Cooling Tower &amp; Corrugated Fill'!$C$12))-32)/1.8+243.04))))*(1061+0.444*((C202+0.9*'Cooling Tower &amp; Corrugated Fill'!$C$12))))-('Merkel Solver'!$C$4+'Cooling Tower &amp; Corrugated Fill'!$C$13*0.9*'Cooling Tower &amp; Corrugated Fill'!$C$12)</f>
        <v/>
      </c>
      <c r="H202" s="22">
        <f>IF(MIN(D202:G202)&lt;=0,99999,'Cooling Tower &amp; Corrugated Fill'!$C$12/4*(1/D202+1/E202+1/F202+1/G202))</f>
        <v/>
      </c>
    </row>
    <row r="203">
      <c r="B203" s="30" t="n">
        <v>19.7</v>
      </c>
      <c r="C203" s="12">
        <f>'Dashboard'!$C$9+B203</f>
        <v/>
      </c>
      <c r="D203" s="14">
        <f>(0.24*((C203+0.1*'Cooling Tower &amp; Corrugated Fill'!$C$12))+0.62198*(0.61094*EXP(17.625*(((C203+0.1*'Cooling Tower &amp; Corrugated Fill'!$C$12))-32)/1.8/((((C203+0.1*'Cooling Tower &amp; Corrugated Fill'!$C$12))-32)/1.8+243.04)))/('Cooling Tower &amp; Corrugated Fill'!$C$14-(0.61094*EXP(17.625*(((C203+0.1*'Cooling Tower &amp; Corrugated Fill'!$C$12))-32)/1.8/((((C203+0.1*'Cooling Tower &amp; Corrugated Fill'!$C$12))-32)/1.8+243.04))))*(1061+0.444*((C203+0.1*'Cooling Tower &amp; Corrugated Fill'!$C$12))))-('Merkel Solver'!$C$4+'Cooling Tower &amp; Corrugated Fill'!$C$13*0.1*'Cooling Tower &amp; Corrugated Fill'!$C$12)</f>
        <v/>
      </c>
      <c r="E203" s="14">
        <f>(0.24*((C203+0.4*'Cooling Tower &amp; Corrugated Fill'!$C$12))+0.62198*(0.61094*EXP(17.625*(((C203+0.4*'Cooling Tower &amp; Corrugated Fill'!$C$12))-32)/1.8/((((C203+0.4*'Cooling Tower &amp; Corrugated Fill'!$C$12))-32)/1.8+243.04)))/('Cooling Tower &amp; Corrugated Fill'!$C$14-(0.61094*EXP(17.625*(((C203+0.4*'Cooling Tower &amp; Corrugated Fill'!$C$12))-32)/1.8/((((C203+0.4*'Cooling Tower &amp; Corrugated Fill'!$C$12))-32)/1.8+243.04))))*(1061+0.444*((C203+0.4*'Cooling Tower &amp; Corrugated Fill'!$C$12))))-('Merkel Solver'!$C$4+'Cooling Tower &amp; Corrugated Fill'!$C$13*0.4*'Cooling Tower &amp; Corrugated Fill'!$C$12)</f>
        <v/>
      </c>
      <c r="F203" s="14">
        <f>(0.24*((C203+0.6*'Cooling Tower &amp; Corrugated Fill'!$C$12))+0.62198*(0.61094*EXP(17.625*(((C203+0.6*'Cooling Tower &amp; Corrugated Fill'!$C$12))-32)/1.8/((((C203+0.6*'Cooling Tower &amp; Corrugated Fill'!$C$12))-32)/1.8+243.04)))/('Cooling Tower &amp; Corrugated Fill'!$C$14-(0.61094*EXP(17.625*(((C203+0.6*'Cooling Tower &amp; Corrugated Fill'!$C$12))-32)/1.8/((((C203+0.6*'Cooling Tower &amp; Corrugated Fill'!$C$12))-32)/1.8+243.04))))*(1061+0.444*((C203+0.6*'Cooling Tower &amp; Corrugated Fill'!$C$12))))-('Merkel Solver'!$C$4+'Cooling Tower &amp; Corrugated Fill'!$C$13*0.6*'Cooling Tower &amp; Corrugated Fill'!$C$12)</f>
        <v/>
      </c>
      <c r="G203" s="14">
        <f>(0.24*((C203+0.9*'Cooling Tower &amp; Corrugated Fill'!$C$12))+0.62198*(0.61094*EXP(17.625*(((C203+0.9*'Cooling Tower &amp; Corrugated Fill'!$C$12))-32)/1.8/((((C203+0.9*'Cooling Tower &amp; Corrugated Fill'!$C$12))-32)/1.8+243.04)))/('Cooling Tower &amp; Corrugated Fill'!$C$14-(0.61094*EXP(17.625*(((C203+0.9*'Cooling Tower &amp; Corrugated Fill'!$C$12))-32)/1.8/((((C203+0.9*'Cooling Tower &amp; Corrugated Fill'!$C$12))-32)/1.8+243.04))))*(1061+0.444*((C203+0.9*'Cooling Tower &amp; Corrugated Fill'!$C$12))))-('Merkel Solver'!$C$4+'Cooling Tower &amp; Corrugated Fill'!$C$13*0.9*'Cooling Tower &amp; Corrugated Fill'!$C$12)</f>
        <v/>
      </c>
      <c r="H203" s="22">
        <f>IF(MIN(D203:G203)&lt;=0,99999,'Cooling Tower &amp; Corrugated Fill'!$C$12/4*(1/D203+1/E203+1/F203+1/G203))</f>
        <v/>
      </c>
    </row>
    <row r="204">
      <c r="B204" s="30" t="n">
        <v>19.8</v>
      </c>
      <c r="C204" s="12">
        <f>'Dashboard'!$C$9+B204</f>
        <v/>
      </c>
      <c r="D204" s="14">
        <f>(0.24*((C204+0.1*'Cooling Tower &amp; Corrugated Fill'!$C$12))+0.62198*(0.61094*EXP(17.625*(((C204+0.1*'Cooling Tower &amp; Corrugated Fill'!$C$12))-32)/1.8/((((C204+0.1*'Cooling Tower &amp; Corrugated Fill'!$C$12))-32)/1.8+243.04)))/('Cooling Tower &amp; Corrugated Fill'!$C$14-(0.61094*EXP(17.625*(((C204+0.1*'Cooling Tower &amp; Corrugated Fill'!$C$12))-32)/1.8/((((C204+0.1*'Cooling Tower &amp; Corrugated Fill'!$C$12))-32)/1.8+243.04))))*(1061+0.444*((C204+0.1*'Cooling Tower &amp; Corrugated Fill'!$C$12))))-('Merkel Solver'!$C$4+'Cooling Tower &amp; Corrugated Fill'!$C$13*0.1*'Cooling Tower &amp; Corrugated Fill'!$C$12)</f>
        <v/>
      </c>
      <c r="E204" s="14">
        <f>(0.24*((C204+0.4*'Cooling Tower &amp; Corrugated Fill'!$C$12))+0.62198*(0.61094*EXP(17.625*(((C204+0.4*'Cooling Tower &amp; Corrugated Fill'!$C$12))-32)/1.8/((((C204+0.4*'Cooling Tower &amp; Corrugated Fill'!$C$12))-32)/1.8+243.04)))/('Cooling Tower &amp; Corrugated Fill'!$C$14-(0.61094*EXP(17.625*(((C204+0.4*'Cooling Tower &amp; Corrugated Fill'!$C$12))-32)/1.8/((((C204+0.4*'Cooling Tower &amp; Corrugated Fill'!$C$12))-32)/1.8+243.04))))*(1061+0.444*((C204+0.4*'Cooling Tower &amp; Corrugated Fill'!$C$12))))-('Merkel Solver'!$C$4+'Cooling Tower &amp; Corrugated Fill'!$C$13*0.4*'Cooling Tower &amp; Corrugated Fill'!$C$12)</f>
        <v/>
      </c>
      <c r="F204" s="14">
        <f>(0.24*((C204+0.6*'Cooling Tower &amp; Corrugated Fill'!$C$12))+0.62198*(0.61094*EXP(17.625*(((C204+0.6*'Cooling Tower &amp; Corrugated Fill'!$C$12))-32)/1.8/((((C204+0.6*'Cooling Tower &amp; Corrugated Fill'!$C$12))-32)/1.8+243.04)))/('Cooling Tower &amp; Corrugated Fill'!$C$14-(0.61094*EXP(17.625*(((C204+0.6*'Cooling Tower &amp; Corrugated Fill'!$C$12))-32)/1.8/((((C204+0.6*'Cooling Tower &amp; Corrugated Fill'!$C$12))-32)/1.8+243.04))))*(1061+0.444*((C204+0.6*'Cooling Tower &amp; Corrugated Fill'!$C$12))))-('Merkel Solver'!$C$4+'Cooling Tower &amp; Corrugated Fill'!$C$13*0.6*'Cooling Tower &amp; Corrugated Fill'!$C$12)</f>
        <v/>
      </c>
      <c r="G204" s="14">
        <f>(0.24*((C204+0.9*'Cooling Tower &amp; Corrugated Fill'!$C$12))+0.62198*(0.61094*EXP(17.625*(((C204+0.9*'Cooling Tower &amp; Corrugated Fill'!$C$12))-32)/1.8/((((C204+0.9*'Cooling Tower &amp; Corrugated Fill'!$C$12))-32)/1.8+243.04)))/('Cooling Tower &amp; Corrugated Fill'!$C$14-(0.61094*EXP(17.625*(((C204+0.9*'Cooling Tower &amp; Corrugated Fill'!$C$12))-32)/1.8/((((C204+0.9*'Cooling Tower &amp; Corrugated Fill'!$C$12))-32)/1.8+243.04))))*(1061+0.444*((C204+0.9*'Cooling Tower &amp; Corrugated Fill'!$C$12))))-('Merkel Solver'!$C$4+'Cooling Tower &amp; Corrugated Fill'!$C$13*0.9*'Cooling Tower &amp; Corrugated Fill'!$C$12)</f>
        <v/>
      </c>
      <c r="H204" s="22">
        <f>IF(MIN(D204:G204)&lt;=0,99999,'Cooling Tower &amp; Corrugated Fill'!$C$12/4*(1/D204+1/E204+1/F204+1/G204))</f>
        <v/>
      </c>
    </row>
    <row r="205">
      <c r="B205" s="30" t="n">
        <v>19.9</v>
      </c>
      <c r="C205" s="12">
        <f>'Dashboard'!$C$9+B205</f>
        <v/>
      </c>
      <c r="D205" s="14">
        <f>(0.24*((C205+0.1*'Cooling Tower &amp; Corrugated Fill'!$C$12))+0.62198*(0.61094*EXP(17.625*(((C205+0.1*'Cooling Tower &amp; Corrugated Fill'!$C$12))-32)/1.8/((((C205+0.1*'Cooling Tower &amp; Corrugated Fill'!$C$12))-32)/1.8+243.04)))/('Cooling Tower &amp; Corrugated Fill'!$C$14-(0.61094*EXP(17.625*(((C205+0.1*'Cooling Tower &amp; Corrugated Fill'!$C$12))-32)/1.8/((((C205+0.1*'Cooling Tower &amp; Corrugated Fill'!$C$12))-32)/1.8+243.04))))*(1061+0.444*((C205+0.1*'Cooling Tower &amp; Corrugated Fill'!$C$12))))-('Merkel Solver'!$C$4+'Cooling Tower &amp; Corrugated Fill'!$C$13*0.1*'Cooling Tower &amp; Corrugated Fill'!$C$12)</f>
        <v/>
      </c>
      <c r="E205" s="14">
        <f>(0.24*((C205+0.4*'Cooling Tower &amp; Corrugated Fill'!$C$12))+0.62198*(0.61094*EXP(17.625*(((C205+0.4*'Cooling Tower &amp; Corrugated Fill'!$C$12))-32)/1.8/((((C205+0.4*'Cooling Tower &amp; Corrugated Fill'!$C$12))-32)/1.8+243.04)))/('Cooling Tower &amp; Corrugated Fill'!$C$14-(0.61094*EXP(17.625*(((C205+0.4*'Cooling Tower &amp; Corrugated Fill'!$C$12))-32)/1.8/((((C205+0.4*'Cooling Tower &amp; Corrugated Fill'!$C$12))-32)/1.8+243.04))))*(1061+0.444*((C205+0.4*'Cooling Tower &amp; Corrugated Fill'!$C$12))))-('Merkel Solver'!$C$4+'Cooling Tower &amp; Corrugated Fill'!$C$13*0.4*'Cooling Tower &amp; Corrugated Fill'!$C$12)</f>
        <v/>
      </c>
      <c r="F205" s="14">
        <f>(0.24*((C205+0.6*'Cooling Tower &amp; Corrugated Fill'!$C$12))+0.62198*(0.61094*EXP(17.625*(((C205+0.6*'Cooling Tower &amp; Corrugated Fill'!$C$12))-32)/1.8/((((C205+0.6*'Cooling Tower &amp; Corrugated Fill'!$C$12))-32)/1.8+243.04)))/('Cooling Tower &amp; Corrugated Fill'!$C$14-(0.61094*EXP(17.625*(((C205+0.6*'Cooling Tower &amp; Corrugated Fill'!$C$12))-32)/1.8/((((C205+0.6*'Cooling Tower &amp; Corrugated Fill'!$C$12))-32)/1.8+243.04))))*(1061+0.444*((C205+0.6*'Cooling Tower &amp; Corrugated Fill'!$C$12))))-('Merkel Solver'!$C$4+'Cooling Tower &amp; Corrugated Fill'!$C$13*0.6*'Cooling Tower &amp; Corrugated Fill'!$C$12)</f>
        <v/>
      </c>
      <c r="G205" s="14">
        <f>(0.24*((C205+0.9*'Cooling Tower &amp; Corrugated Fill'!$C$12))+0.62198*(0.61094*EXP(17.625*(((C205+0.9*'Cooling Tower &amp; Corrugated Fill'!$C$12))-32)/1.8/((((C205+0.9*'Cooling Tower &amp; Corrugated Fill'!$C$12))-32)/1.8+243.04)))/('Cooling Tower &amp; Corrugated Fill'!$C$14-(0.61094*EXP(17.625*(((C205+0.9*'Cooling Tower &amp; Corrugated Fill'!$C$12))-32)/1.8/((((C205+0.9*'Cooling Tower &amp; Corrugated Fill'!$C$12))-32)/1.8+243.04))))*(1061+0.444*((C205+0.9*'Cooling Tower &amp; Corrugated Fill'!$C$12))))-('Merkel Solver'!$C$4+'Cooling Tower &amp; Corrugated Fill'!$C$13*0.9*'Cooling Tower &amp; Corrugated Fill'!$C$12)</f>
        <v/>
      </c>
      <c r="H205" s="22">
        <f>IF(MIN(D205:G205)&lt;=0,99999,'Cooling Tower &amp; Corrugated Fill'!$C$12/4*(1/D205+1/E205+1/F205+1/G205))</f>
        <v/>
      </c>
    </row>
    <row r="206">
      <c r="B206" s="30" t="n">
        <v>20</v>
      </c>
      <c r="C206" s="12">
        <f>'Dashboard'!$C$9+B206</f>
        <v/>
      </c>
      <c r="D206" s="14">
        <f>(0.24*((C206+0.1*'Cooling Tower &amp; Corrugated Fill'!$C$12))+0.62198*(0.61094*EXP(17.625*(((C206+0.1*'Cooling Tower &amp; Corrugated Fill'!$C$12))-32)/1.8/((((C206+0.1*'Cooling Tower &amp; Corrugated Fill'!$C$12))-32)/1.8+243.04)))/('Cooling Tower &amp; Corrugated Fill'!$C$14-(0.61094*EXP(17.625*(((C206+0.1*'Cooling Tower &amp; Corrugated Fill'!$C$12))-32)/1.8/((((C206+0.1*'Cooling Tower &amp; Corrugated Fill'!$C$12))-32)/1.8+243.04))))*(1061+0.444*((C206+0.1*'Cooling Tower &amp; Corrugated Fill'!$C$12))))-('Merkel Solver'!$C$4+'Cooling Tower &amp; Corrugated Fill'!$C$13*0.1*'Cooling Tower &amp; Corrugated Fill'!$C$12)</f>
        <v/>
      </c>
      <c r="E206" s="14">
        <f>(0.24*((C206+0.4*'Cooling Tower &amp; Corrugated Fill'!$C$12))+0.62198*(0.61094*EXP(17.625*(((C206+0.4*'Cooling Tower &amp; Corrugated Fill'!$C$12))-32)/1.8/((((C206+0.4*'Cooling Tower &amp; Corrugated Fill'!$C$12))-32)/1.8+243.04)))/('Cooling Tower &amp; Corrugated Fill'!$C$14-(0.61094*EXP(17.625*(((C206+0.4*'Cooling Tower &amp; Corrugated Fill'!$C$12))-32)/1.8/((((C206+0.4*'Cooling Tower &amp; Corrugated Fill'!$C$12))-32)/1.8+243.04))))*(1061+0.444*((C206+0.4*'Cooling Tower &amp; Corrugated Fill'!$C$12))))-('Merkel Solver'!$C$4+'Cooling Tower &amp; Corrugated Fill'!$C$13*0.4*'Cooling Tower &amp; Corrugated Fill'!$C$12)</f>
        <v/>
      </c>
      <c r="F206" s="14">
        <f>(0.24*((C206+0.6*'Cooling Tower &amp; Corrugated Fill'!$C$12))+0.62198*(0.61094*EXP(17.625*(((C206+0.6*'Cooling Tower &amp; Corrugated Fill'!$C$12))-32)/1.8/((((C206+0.6*'Cooling Tower &amp; Corrugated Fill'!$C$12))-32)/1.8+243.04)))/('Cooling Tower &amp; Corrugated Fill'!$C$14-(0.61094*EXP(17.625*(((C206+0.6*'Cooling Tower &amp; Corrugated Fill'!$C$12))-32)/1.8/((((C206+0.6*'Cooling Tower &amp; Corrugated Fill'!$C$12))-32)/1.8+243.04))))*(1061+0.444*((C206+0.6*'Cooling Tower &amp; Corrugated Fill'!$C$12))))-('Merkel Solver'!$C$4+'Cooling Tower &amp; Corrugated Fill'!$C$13*0.6*'Cooling Tower &amp; Corrugated Fill'!$C$12)</f>
        <v/>
      </c>
      <c r="G206" s="14">
        <f>(0.24*((C206+0.9*'Cooling Tower &amp; Corrugated Fill'!$C$12))+0.62198*(0.61094*EXP(17.625*(((C206+0.9*'Cooling Tower &amp; Corrugated Fill'!$C$12))-32)/1.8/((((C206+0.9*'Cooling Tower &amp; Corrugated Fill'!$C$12))-32)/1.8+243.04)))/('Cooling Tower &amp; Corrugated Fill'!$C$14-(0.61094*EXP(17.625*(((C206+0.9*'Cooling Tower &amp; Corrugated Fill'!$C$12))-32)/1.8/((((C206+0.9*'Cooling Tower &amp; Corrugated Fill'!$C$12))-32)/1.8+243.04))))*(1061+0.444*((C206+0.9*'Cooling Tower &amp; Corrugated Fill'!$C$12))))-('Merkel Solver'!$C$4+'Cooling Tower &amp; Corrugated Fill'!$C$13*0.9*'Cooling Tower &amp; Corrugated Fill'!$C$12)</f>
        <v/>
      </c>
      <c r="H206" s="22">
        <f>IF(MIN(D206:G206)&lt;=0,99999,'Cooling Tower &amp; Corrugated Fill'!$C$12/4*(1/D206+1/E206+1/F206+1/G206))</f>
        <v/>
      </c>
    </row>
    <row r="207">
      <c r="B207" s="30" t="n">
        <v>20.1</v>
      </c>
      <c r="C207" s="12">
        <f>'Dashboard'!$C$9+B207</f>
        <v/>
      </c>
      <c r="D207" s="14">
        <f>(0.24*((C207+0.1*'Cooling Tower &amp; Corrugated Fill'!$C$12))+0.62198*(0.61094*EXP(17.625*(((C207+0.1*'Cooling Tower &amp; Corrugated Fill'!$C$12))-32)/1.8/((((C207+0.1*'Cooling Tower &amp; Corrugated Fill'!$C$12))-32)/1.8+243.04)))/('Cooling Tower &amp; Corrugated Fill'!$C$14-(0.61094*EXP(17.625*(((C207+0.1*'Cooling Tower &amp; Corrugated Fill'!$C$12))-32)/1.8/((((C207+0.1*'Cooling Tower &amp; Corrugated Fill'!$C$12))-32)/1.8+243.04))))*(1061+0.444*((C207+0.1*'Cooling Tower &amp; Corrugated Fill'!$C$12))))-('Merkel Solver'!$C$4+'Cooling Tower &amp; Corrugated Fill'!$C$13*0.1*'Cooling Tower &amp; Corrugated Fill'!$C$12)</f>
        <v/>
      </c>
      <c r="E207" s="14">
        <f>(0.24*((C207+0.4*'Cooling Tower &amp; Corrugated Fill'!$C$12))+0.62198*(0.61094*EXP(17.625*(((C207+0.4*'Cooling Tower &amp; Corrugated Fill'!$C$12))-32)/1.8/((((C207+0.4*'Cooling Tower &amp; Corrugated Fill'!$C$12))-32)/1.8+243.04)))/('Cooling Tower &amp; Corrugated Fill'!$C$14-(0.61094*EXP(17.625*(((C207+0.4*'Cooling Tower &amp; Corrugated Fill'!$C$12))-32)/1.8/((((C207+0.4*'Cooling Tower &amp; Corrugated Fill'!$C$12))-32)/1.8+243.04))))*(1061+0.444*((C207+0.4*'Cooling Tower &amp; Corrugated Fill'!$C$12))))-('Merkel Solver'!$C$4+'Cooling Tower &amp; Corrugated Fill'!$C$13*0.4*'Cooling Tower &amp; Corrugated Fill'!$C$12)</f>
        <v/>
      </c>
      <c r="F207" s="14">
        <f>(0.24*((C207+0.6*'Cooling Tower &amp; Corrugated Fill'!$C$12))+0.62198*(0.61094*EXP(17.625*(((C207+0.6*'Cooling Tower &amp; Corrugated Fill'!$C$12))-32)/1.8/((((C207+0.6*'Cooling Tower &amp; Corrugated Fill'!$C$12))-32)/1.8+243.04)))/('Cooling Tower &amp; Corrugated Fill'!$C$14-(0.61094*EXP(17.625*(((C207+0.6*'Cooling Tower &amp; Corrugated Fill'!$C$12))-32)/1.8/((((C207+0.6*'Cooling Tower &amp; Corrugated Fill'!$C$12))-32)/1.8+243.04))))*(1061+0.444*((C207+0.6*'Cooling Tower &amp; Corrugated Fill'!$C$12))))-('Merkel Solver'!$C$4+'Cooling Tower &amp; Corrugated Fill'!$C$13*0.6*'Cooling Tower &amp; Corrugated Fill'!$C$12)</f>
        <v/>
      </c>
      <c r="G207" s="14">
        <f>(0.24*((C207+0.9*'Cooling Tower &amp; Corrugated Fill'!$C$12))+0.62198*(0.61094*EXP(17.625*(((C207+0.9*'Cooling Tower &amp; Corrugated Fill'!$C$12))-32)/1.8/((((C207+0.9*'Cooling Tower &amp; Corrugated Fill'!$C$12))-32)/1.8+243.04)))/('Cooling Tower &amp; Corrugated Fill'!$C$14-(0.61094*EXP(17.625*(((C207+0.9*'Cooling Tower &amp; Corrugated Fill'!$C$12))-32)/1.8/((((C207+0.9*'Cooling Tower &amp; Corrugated Fill'!$C$12))-32)/1.8+243.04))))*(1061+0.444*((C207+0.9*'Cooling Tower &amp; Corrugated Fill'!$C$12))))-('Merkel Solver'!$C$4+'Cooling Tower &amp; Corrugated Fill'!$C$13*0.9*'Cooling Tower &amp; Corrugated Fill'!$C$12)</f>
        <v/>
      </c>
      <c r="H207" s="22">
        <f>IF(MIN(D207:G207)&lt;=0,99999,'Cooling Tower &amp; Corrugated Fill'!$C$12/4*(1/D207+1/E207+1/F207+1/G207))</f>
        <v/>
      </c>
    </row>
    <row r="208">
      <c r="B208" s="30" t="n">
        <v>20.2</v>
      </c>
      <c r="C208" s="12">
        <f>'Dashboard'!$C$9+B208</f>
        <v/>
      </c>
      <c r="D208" s="14">
        <f>(0.24*((C208+0.1*'Cooling Tower &amp; Corrugated Fill'!$C$12))+0.62198*(0.61094*EXP(17.625*(((C208+0.1*'Cooling Tower &amp; Corrugated Fill'!$C$12))-32)/1.8/((((C208+0.1*'Cooling Tower &amp; Corrugated Fill'!$C$12))-32)/1.8+243.04)))/('Cooling Tower &amp; Corrugated Fill'!$C$14-(0.61094*EXP(17.625*(((C208+0.1*'Cooling Tower &amp; Corrugated Fill'!$C$12))-32)/1.8/((((C208+0.1*'Cooling Tower &amp; Corrugated Fill'!$C$12))-32)/1.8+243.04))))*(1061+0.444*((C208+0.1*'Cooling Tower &amp; Corrugated Fill'!$C$12))))-('Merkel Solver'!$C$4+'Cooling Tower &amp; Corrugated Fill'!$C$13*0.1*'Cooling Tower &amp; Corrugated Fill'!$C$12)</f>
        <v/>
      </c>
      <c r="E208" s="14">
        <f>(0.24*((C208+0.4*'Cooling Tower &amp; Corrugated Fill'!$C$12))+0.62198*(0.61094*EXP(17.625*(((C208+0.4*'Cooling Tower &amp; Corrugated Fill'!$C$12))-32)/1.8/((((C208+0.4*'Cooling Tower &amp; Corrugated Fill'!$C$12))-32)/1.8+243.04)))/('Cooling Tower &amp; Corrugated Fill'!$C$14-(0.61094*EXP(17.625*(((C208+0.4*'Cooling Tower &amp; Corrugated Fill'!$C$12))-32)/1.8/((((C208+0.4*'Cooling Tower &amp; Corrugated Fill'!$C$12))-32)/1.8+243.04))))*(1061+0.444*((C208+0.4*'Cooling Tower &amp; Corrugated Fill'!$C$12))))-('Merkel Solver'!$C$4+'Cooling Tower &amp; Corrugated Fill'!$C$13*0.4*'Cooling Tower &amp; Corrugated Fill'!$C$12)</f>
        <v/>
      </c>
      <c r="F208" s="14">
        <f>(0.24*((C208+0.6*'Cooling Tower &amp; Corrugated Fill'!$C$12))+0.62198*(0.61094*EXP(17.625*(((C208+0.6*'Cooling Tower &amp; Corrugated Fill'!$C$12))-32)/1.8/((((C208+0.6*'Cooling Tower &amp; Corrugated Fill'!$C$12))-32)/1.8+243.04)))/('Cooling Tower &amp; Corrugated Fill'!$C$14-(0.61094*EXP(17.625*(((C208+0.6*'Cooling Tower &amp; Corrugated Fill'!$C$12))-32)/1.8/((((C208+0.6*'Cooling Tower &amp; Corrugated Fill'!$C$12))-32)/1.8+243.04))))*(1061+0.444*((C208+0.6*'Cooling Tower &amp; Corrugated Fill'!$C$12))))-('Merkel Solver'!$C$4+'Cooling Tower &amp; Corrugated Fill'!$C$13*0.6*'Cooling Tower &amp; Corrugated Fill'!$C$12)</f>
        <v/>
      </c>
      <c r="G208" s="14">
        <f>(0.24*((C208+0.9*'Cooling Tower &amp; Corrugated Fill'!$C$12))+0.62198*(0.61094*EXP(17.625*(((C208+0.9*'Cooling Tower &amp; Corrugated Fill'!$C$12))-32)/1.8/((((C208+0.9*'Cooling Tower &amp; Corrugated Fill'!$C$12))-32)/1.8+243.04)))/('Cooling Tower &amp; Corrugated Fill'!$C$14-(0.61094*EXP(17.625*(((C208+0.9*'Cooling Tower &amp; Corrugated Fill'!$C$12))-32)/1.8/((((C208+0.9*'Cooling Tower &amp; Corrugated Fill'!$C$12))-32)/1.8+243.04))))*(1061+0.444*((C208+0.9*'Cooling Tower &amp; Corrugated Fill'!$C$12))))-('Merkel Solver'!$C$4+'Cooling Tower &amp; Corrugated Fill'!$C$13*0.9*'Cooling Tower &amp; Corrugated Fill'!$C$12)</f>
        <v/>
      </c>
      <c r="H208" s="22">
        <f>IF(MIN(D208:G208)&lt;=0,99999,'Cooling Tower &amp; Corrugated Fill'!$C$12/4*(1/D208+1/E208+1/F208+1/G208))</f>
        <v/>
      </c>
    </row>
    <row r="209">
      <c r="B209" s="30" t="n">
        <v>20.3</v>
      </c>
      <c r="C209" s="12">
        <f>'Dashboard'!$C$9+B209</f>
        <v/>
      </c>
      <c r="D209" s="14">
        <f>(0.24*((C209+0.1*'Cooling Tower &amp; Corrugated Fill'!$C$12))+0.62198*(0.61094*EXP(17.625*(((C209+0.1*'Cooling Tower &amp; Corrugated Fill'!$C$12))-32)/1.8/((((C209+0.1*'Cooling Tower &amp; Corrugated Fill'!$C$12))-32)/1.8+243.04)))/('Cooling Tower &amp; Corrugated Fill'!$C$14-(0.61094*EXP(17.625*(((C209+0.1*'Cooling Tower &amp; Corrugated Fill'!$C$12))-32)/1.8/((((C209+0.1*'Cooling Tower &amp; Corrugated Fill'!$C$12))-32)/1.8+243.04))))*(1061+0.444*((C209+0.1*'Cooling Tower &amp; Corrugated Fill'!$C$12))))-('Merkel Solver'!$C$4+'Cooling Tower &amp; Corrugated Fill'!$C$13*0.1*'Cooling Tower &amp; Corrugated Fill'!$C$12)</f>
        <v/>
      </c>
      <c r="E209" s="14">
        <f>(0.24*((C209+0.4*'Cooling Tower &amp; Corrugated Fill'!$C$12))+0.62198*(0.61094*EXP(17.625*(((C209+0.4*'Cooling Tower &amp; Corrugated Fill'!$C$12))-32)/1.8/((((C209+0.4*'Cooling Tower &amp; Corrugated Fill'!$C$12))-32)/1.8+243.04)))/('Cooling Tower &amp; Corrugated Fill'!$C$14-(0.61094*EXP(17.625*(((C209+0.4*'Cooling Tower &amp; Corrugated Fill'!$C$12))-32)/1.8/((((C209+0.4*'Cooling Tower &amp; Corrugated Fill'!$C$12))-32)/1.8+243.04))))*(1061+0.444*((C209+0.4*'Cooling Tower &amp; Corrugated Fill'!$C$12))))-('Merkel Solver'!$C$4+'Cooling Tower &amp; Corrugated Fill'!$C$13*0.4*'Cooling Tower &amp; Corrugated Fill'!$C$12)</f>
        <v/>
      </c>
      <c r="F209" s="14">
        <f>(0.24*((C209+0.6*'Cooling Tower &amp; Corrugated Fill'!$C$12))+0.62198*(0.61094*EXP(17.625*(((C209+0.6*'Cooling Tower &amp; Corrugated Fill'!$C$12))-32)/1.8/((((C209+0.6*'Cooling Tower &amp; Corrugated Fill'!$C$12))-32)/1.8+243.04)))/('Cooling Tower &amp; Corrugated Fill'!$C$14-(0.61094*EXP(17.625*(((C209+0.6*'Cooling Tower &amp; Corrugated Fill'!$C$12))-32)/1.8/((((C209+0.6*'Cooling Tower &amp; Corrugated Fill'!$C$12))-32)/1.8+243.04))))*(1061+0.444*((C209+0.6*'Cooling Tower &amp; Corrugated Fill'!$C$12))))-('Merkel Solver'!$C$4+'Cooling Tower &amp; Corrugated Fill'!$C$13*0.6*'Cooling Tower &amp; Corrugated Fill'!$C$12)</f>
        <v/>
      </c>
      <c r="G209" s="14">
        <f>(0.24*((C209+0.9*'Cooling Tower &amp; Corrugated Fill'!$C$12))+0.62198*(0.61094*EXP(17.625*(((C209+0.9*'Cooling Tower &amp; Corrugated Fill'!$C$12))-32)/1.8/((((C209+0.9*'Cooling Tower &amp; Corrugated Fill'!$C$12))-32)/1.8+243.04)))/('Cooling Tower &amp; Corrugated Fill'!$C$14-(0.61094*EXP(17.625*(((C209+0.9*'Cooling Tower &amp; Corrugated Fill'!$C$12))-32)/1.8/((((C209+0.9*'Cooling Tower &amp; Corrugated Fill'!$C$12))-32)/1.8+243.04))))*(1061+0.444*((C209+0.9*'Cooling Tower &amp; Corrugated Fill'!$C$12))))-('Merkel Solver'!$C$4+'Cooling Tower &amp; Corrugated Fill'!$C$13*0.9*'Cooling Tower &amp; Corrugated Fill'!$C$12)</f>
        <v/>
      </c>
      <c r="H209" s="22">
        <f>IF(MIN(D209:G209)&lt;=0,99999,'Cooling Tower &amp; Corrugated Fill'!$C$12/4*(1/D209+1/E209+1/F209+1/G209))</f>
        <v/>
      </c>
    </row>
    <row r="210">
      <c r="B210" s="30" t="n">
        <v>20.4</v>
      </c>
      <c r="C210" s="12">
        <f>'Dashboard'!$C$9+B210</f>
        <v/>
      </c>
      <c r="D210" s="14">
        <f>(0.24*((C210+0.1*'Cooling Tower &amp; Corrugated Fill'!$C$12))+0.62198*(0.61094*EXP(17.625*(((C210+0.1*'Cooling Tower &amp; Corrugated Fill'!$C$12))-32)/1.8/((((C210+0.1*'Cooling Tower &amp; Corrugated Fill'!$C$12))-32)/1.8+243.04)))/('Cooling Tower &amp; Corrugated Fill'!$C$14-(0.61094*EXP(17.625*(((C210+0.1*'Cooling Tower &amp; Corrugated Fill'!$C$12))-32)/1.8/((((C210+0.1*'Cooling Tower &amp; Corrugated Fill'!$C$12))-32)/1.8+243.04))))*(1061+0.444*((C210+0.1*'Cooling Tower &amp; Corrugated Fill'!$C$12))))-('Merkel Solver'!$C$4+'Cooling Tower &amp; Corrugated Fill'!$C$13*0.1*'Cooling Tower &amp; Corrugated Fill'!$C$12)</f>
        <v/>
      </c>
      <c r="E210" s="14">
        <f>(0.24*((C210+0.4*'Cooling Tower &amp; Corrugated Fill'!$C$12))+0.62198*(0.61094*EXP(17.625*(((C210+0.4*'Cooling Tower &amp; Corrugated Fill'!$C$12))-32)/1.8/((((C210+0.4*'Cooling Tower &amp; Corrugated Fill'!$C$12))-32)/1.8+243.04)))/('Cooling Tower &amp; Corrugated Fill'!$C$14-(0.61094*EXP(17.625*(((C210+0.4*'Cooling Tower &amp; Corrugated Fill'!$C$12))-32)/1.8/((((C210+0.4*'Cooling Tower &amp; Corrugated Fill'!$C$12))-32)/1.8+243.04))))*(1061+0.444*((C210+0.4*'Cooling Tower &amp; Corrugated Fill'!$C$12))))-('Merkel Solver'!$C$4+'Cooling Tower &amp; Corrugated Fill'!$C$13*0.4*'Cooling Tower &amp; Corrugated Fill'!$C$12)</f>
        <v/>
      </c>
      <c r="F210" s="14">
        <f>(0.24*((C210+0.6*'Cooling Tower &amp; Corrugated Fill'!$C$12))+0.62198*(0.61094*EXP(17.625*(((C210+0.6*'Cooling Tower &amp; Corrugated Fill'!$C$12))-32)/1.8/((((C210+0.6*'Cooling Tower &amp; Corrugated Fill'!$C$12))-32)/1.8+243.04)))/('Cooling Tower &amp; Corrugated Fill'!$C$14-(0.61094*EXP(17.625*(((C210+0.6*'Cooling Tower &amp; Corrugated Fill'!$C$12))-32)/1.8/((((C210+0.6*'Cooling Tower &amp; Corrugated Fill'!$C$12))-32)/1.8+243.04))))*(1061+0.444*((C210+0.6*'Cooling Tower &amp; Corrugated Fill'!$C$12))))-('Merkel Solver'!$C$4+'Cooling Tower &amp; Corrugated Fill'!$C$13*0.6*'Cooling Tower &amp; Corrugated Fill'!$C$12)</f>
        <v/>
      </c>
      <c r="G210" s="14">
        <f>(0.24*((C210+0.9*'Cooling Tower &amp; Corrugated Fill'!$C$12))+0.62198*(0.61094*EXP(17.625*(((C210+0.9*'Cooling Tower &amp; Corrugated Fill'!$C$12))-32)/1.8/((((C210+0.9*'Cooling Tower &amp; Corrugated Fill'!$C$12))-32)/1.8+243.04)))/('Cooling Tower &amp; Corrugated Fill'!$C$14-(0.61094*EXP(17.625*(((C210+0.9*'Cooling Tower &amp; Corrugated Fill'!$C$12))-32)/1.8/((((C210+0.9*'Cooling Tower &amp; Corrugated Fill'!$C$12))-32)/1.8+243.04))))*(1061+0.444*((C210+0.9*'Cooling Tower &amp; Corrugated Fill'!$C$12))))-('Merkel Solver'!$C$4+'Cooling Tower &amp; Corrugated Fill'!$C$13*0.9*'Cooling Tower &amp; Corrugated Fill'!$C$12)</f>
        <v/>
      </c>
      <c r="H210" s="22">
        <f>IF(MIN(D210:G210)&lt;=0,99999,'Cooling Tower &amp; Corrugated Fill'!$C$12/4*(1/D210+1/E210+1/F210+1/G210))</f>
        <v/>
      </c>
    </row>
    <row r="211">
      <c r="B211" s="30" t="n">
        <v>20.5</v>
      </c>
      <c r="C211" s="12">
        <f>'Dashboard'!$C$9+B211</f>
        <v/>
      </c>
      <c r="D211" s="14">
        <f>(0.24*((C211+0.1*'Cooling Tower &amp; Corrugated Fill'!$C$12))+0.62198*(0.61094*EXP(17.625*(((C211+0.1*'Cooling Tower &amp; Corrugated Fill'!$C$12))-32)/1.8/((((C211+0.1*'Cooling Tower &amp; Corrugated Fill'!$C$12))-32)/1.8+243.04)))/('Cooling Tower &amp; Corrugated Fill'!$C$14-(0.61094*EXP(17.625*(((C211+0.1*'Cooling Tower &amp; Corrugated Fill'!$C$12))-32)/1.8/((((C211+0.1*'Cooling Tower &amp; Corrugated Fill'!$C$12))-32)/1.8+243.04))))*(1061+0.444*((C211+0.1*'Cooling Tower &amp; Corrugated Fill'!$C$12))))-('Merkel Solver'!$C$4+'Cooling Tower &amp; Corrugated Fill'!$C$13*0.1*'Cooling Tower &amp; Corrugated Fill'!$C$12)</f>
        <v/>
      </c>
      <c r="E211" s="14">
        <f>(0.24*((C211+0.4*'Cooling Tower &amp; Corrugated Fill'!$C$12))+0.62198*(0.61094*EXP(17.625*(((C211+0.4*'Cooling Tower &amp; Corrugated Fill'!$C$12))-32)/1.8/((((C211+0.4*'Cooling Tower &amp; Corrugated Fill'!$C$12))-32)/1.8+243.04)))/('Cooling Tower &amp; Corrugated Fill'!$C$14-(0.61094*EXP(17.625*(((C211+0.4*'Cooling Tower &amp; Corrugated Fill'!$C$12))-32)/1.8/((((C211+0.4*'Cooling Tower &amp; Corrugated Fill'!$C$12))-32)/1.8+243.04))))*(1061+0.444*((C211+0.4*'Cooling Tower &amp; Corrugated Fill'!$C$12))))-('Merkel Solver'!$C$4+'Cooling Tower &amp; Corrugated Fill'!$C$13*0.4*'Cooling Tower &amp; Corrugated Fill'!$C$12)</f>
        <v/>
      </c>
      <c r="F211" s="14">
        <f>(0.24*((C211+0.6*'Cooling Tower &amp; Corrugated Fill'!$C$12))+0.62198*(0.61094*EXP(17.625*(((C211+0.6*'Cooling Tower &amp; Corrugated Fill'!$C$12))-32)/1.8/((((C211+0.6*'Cooling Tower &amp; Corrugated Fill'!$C$12))-32)/1.8+243.04)))/('Cooling Tower &amp; Corrugated Fill'!$C$14-(0.61094*EXP(17.625*(((C211+0.6*'Cooling Tower &amp; Corrugated Fill'!$C$12))-32)/1.8/((((C211+0.6*'Cooling Tower &amp; Corrugated Fill'!$C$12))-32)/1.8+243.04))))*(1061+0.444*((C211+0.6*'Cooling Tower &amp; Corrugated Fill'!$C$12))))-('Merkel Solver'!$C$4+'Cooling Tower &amp; Corrugated Fill'!$C$13*0.6*'Cooling Tower &amp; Corrugated Fill'!$C$12)</f>
        <v/>
      </c>
      <c r="G211" s="14">
        <f>(0.24*((C211+0.9*'Cooling Tower &amp; Corrugated Fill'!$C$12))+0.62198*(0.61094*EXP(17.625*(((C211+0.9*'Cooling Tower &amp; Corrugated Fill'!$C$12))-32)/1.8/((((C211+0.9*'Cooling Tower &amp; Corrugated Fill'!$C$12))-32)/1.8+243.04)))/('Cooling Tower &amp; Corrugated Fill'!$C$14-(0.61094*EXP(17.625*(((C211+0.9*'Cooling Tower &amp; Corrugated Fill'!$C$12))-32)/1.8/((((C211+0.9*'Cooling Tower &amp; Corrugated Fill'!$C$12))-32)/1.8+243.04))))*(1061+0.444*((C211+0.9*'Cooling Tower &amp; Corrugated Fill'!$C$12))))-('Merkel Solver'!$C$4+'Cooling Tower &amp; Corrugated Fill'!$C$13*0.9*'Cooling Tower &amp; Corrugated Fill'!$C$12)</f>
        <v/>
      </c>
      <c r="H211" s="22">
        <f>IF(MIN(D211:G211)&lt;=0,99999,'Cooling Tower &amp; Corrugated Fill'!$C$12/4*(1/D211+1/E211+1/F211+1/G211))</f>
        <v/>
      </c>
    </row>
    <row r="212">
      <c r="B212" s="30" t="n">
        <v>20.6</v>
      </c>
      <c r="C212" s="12">
        <f>'Dashboard'!$C$9+B212</f>
        <v/>
      </c>
      <c r="D212" s="14">
        <f>(0.24*((C212+0.1*'Cooling Tower &amp; Corrugated Fill'!$C$12))+0.62198*(0.61094*EXP(17.625*(((C212+0.1*'Cooling Tower &amp; Corrugated Fill'!$C$12))-32)/1.8/((((C212+0.1*'Cooling Tower &amp; Corrugated Fill'!$C$12))-32)/1.8+243.04)))/('Cooling Tower &amp; Corrugated Fill'!$C$14-(0.61094*EXP(17.625*(((C212+0.1*'Cooling Tower &amp; Corrugated Fill'!$C$12))-32)/1.8/((((C212+0.1*'Cooling Tower &amp; Corrugated Fill'!$C$12))-32)/1.8+243.04))))*(1061+0.444*((C212+0.1*'Cooling Tower &amp; Corrugated Fill'!$C$12))))-('Merkel Solver'!$C$4+'Cooling Tower &amp; Corrugated Fill'!$C$13*0.1*'Cooling Tower &amp; Corrugated Fill'!$C$12)</f>
        <v/>
      </c>
      <c r="E212" s="14">
        <f>(0.24*((C212+0.4*'Cooling Tower &amp; Corrugated Fill'!$C$12))+0.62198*(0.61094*EXP(17.625*(((C212+0.4*'Cooling Tower &amp; Corrugated Fill'!$C$12))-32)/1.8/((((C212+0.4*'Cooling Tower &amp; Corrugated Fill'!$C$12))-32)/1.8+243.04)))/('Cooling Tower &amp; Corrugated Fill'!$C$14-(0.61094*EXP(17.625*(((C212+0.4*'Cooling Tower &amp; Corrugated Fill'!$C$12))-32)/1.8/((((C212+0.4*'Cooling Tower &amp; Corrugated Fill'!$C$12))-32)/1.8+243.04))))*(1061+0.444*((C212+0.4*'Cooling Tower &amp; Corrugated Fill'!$C$12))))-('Merkel Solver'!$C$4+'Cooling Tower &amp; Corrugated Fill'!$C$13*0.4*'Cooling Tower &amp; Corrugated Fill'!$C$12)</f>
        <v/>
      </c>
      <c r="F212" s="14">
        <f>(0.24*((C212+0.6*'Cooling Tower &amp; Corrugated Fill'!$C$12))+0.62198*(0.61094*EXP(17.625*(((C212+0.6*'Cooling Tower &amp; Corrugated Fill'!$C$12))-32)/1.8/((((C212+0.6*'Cooling Tower &amp; Corrugated Fill'!$C$12))-32)/1.8+243.04)))/('Cooling Tower &amp; Corrugated Fill'!$C$14-(0.61094*EXP(17.625*(((C212+0.6*'Cooling Tower &amp; Corrugated Fill'!$C$12))-32)/1.8/((((C212+0.6*'Cooling Tower &amp; Corrugated Fill'!$C$12))-32)/1.8+243.04))))*(1061+0.444*((C212+0.6*'Cooling Tower &amp; Corrugated Fill'!$C$12))))-('Merkel Solver'!$C$4+'Cooling Tower &amp; Corrugated Fill'!$C$13*0.6*'Cooling Tower &amp; Corrugated Fill'!$C$12)</f>
        <v/>
      </c>
      <c r="G212" s="14">
        <f>(0.24*((C212+0.9*'Cooling Tower &amp; Corrugated Fill'!$C$12))+0.62198*(0.61094*EXP(17.625*(((C212+0.9*'Cooling Tower &amp; Corrugated Fill'!$C$12))-32)/1.8/((((C212+0.9*'Cooling Tower &amp; Corrugated Fill'!$C$12))-32)/1.8+243.04)))/('Cooling Tower &amp; Corrugated Fill'!$C$14-(0.61094*EXP(17.625*(((C212+0.9*'Cooling Tower &amp; Corrugated Fill'!$C$12))-32)/1.8/((((C212+0.9*'Cooling Tower &amp; Corrugated Fill'!$C$12))-32)/1.8+243.04))))*(1061+0.444*((C212+0.9*'Cooling Tower &amp; Corrugated Fill'!$C$12))))-('Merkel Solver'!$C$4+'Cooling Tower &amp; Corrugated Fill'!$C$13*0.9*'Cooling Tower &amp; Corrugated Fill'!$C$12)</f>
        <v/>
      </c>
      <c r="H212" s="22">
        <f>IF(MIN(D212:G212)&lt;=0,99999,'Cooling Tower &amp; Corrugated Fill'!$C$12/4*(1/D212+1/E212+1/F212+1/G212))</f>
        <v/>
      </c>
    </row>
    <row r="213">
      <c r="B213" s="30" t="n">
        <v>20.7</v>
      </c>
      <c r="C213" s="12">
        <f>'Dashboard'!$C$9+B213</f>
        <v/>
      </c>
      <c r="D213" s="14">
        <f>(0.24*((C213+0.1*'Cooling Tower &amp; Corrugated Fill'!$C$12))+0.62198*(0.61094*EXP(17.625*(((C213+0.1*'Cooling Tower &amp; Corrugated Fill'!$C$12))-32)/1.8/((((C213+0.1*'Cooling Tower &amp; Corrugated Fill'!$C$12))-32)/1.8+243.04)))/('Cooling Tower &amp; Corrugated Fill'!$C$14-(0.61094*EXP(17.625*(((C213+0.1*'Cooling Tower &amp; Corrugated Fill'!$C$12))-32)/1.8/((((C213+0.1*'Cooling Tower &amp; Corrugated Fill'!$C$12))-32)/1.8+243.04))))*(1061+0.444*((C213+0.1*'Cooling Tower &amp; Corrugated Fill'!$C$12))))-('Merkel Solver'!$C$4+'Cooling Tower &amp; Corrugated Fill'!$C$13*0.1*'Cooling Tower &amp; Corrugated Fill'!$C$12)</f>
        <v/>
      </c>
      <c r="E213" s="14">
        <f>(0.24*((C213+0.4*'Cooling Tower &amp; Corrugated Fill'!$C$12))+0.62198*(0.61094*EXP(17.625*(((C213+0.4*'Cooling Tower &amp; Corrugated Fill'!$C$12))-32)/1.8/((((C213+0.4*'Cooling Tower &amp; Corrugated Fill'!$C$12))-32)/1.8+243.04)))/('Cooling Tower &amp; Corrugated Fill'!$C$14-(0.61094*EXP(17.625*(((C213+0.4*'Cooling Tower &amp; Corrugated Fill'!$C$12))-32)/1.8/((((C213+0.4*'Cooling Tower &amp; Corrugated Fill'!$C$12))-32)/1.8+243.04))))*(1061+0.444*((C213+0.4*'Cooling Tower &amp; Corrugated Fill'!$C$12))))-('Merkel Solver'!$C$4+'Cooling Tower &amp; Corrugated Fill'!$C$13*0.4*'Cooling Tower &amp; Corrugated Fill'!$C$12)</f>
        <v/>
      </c>
      <c r="F213" s="14">
        <f>(0.24*((C213+0.6*'Cooling Tower &amp; Corrugated Fill'!$C$12))+0.62198*(0.61094*EXP(17.625*(((C213+0.6*'Cooling Tower &amp; Corrugated Fill'!$C$12))-32)/1.8/((((C213+0.6*'Cooling Tower &amp; Corrugated Fill'!$C$12))-32)/1.8+243.04)))/('Cooling Tower &amp; Corrugated Fill'!$C$14-(0.61094*EXP(17.625*(((C213+0.6*'Cooling Tower &amp; Corrugated Fill'!$C$12))-32)/1.8/((((C213+0.6*'Cooling Tower &amp; Corrugated Fill'!$C$12))-32)/1.8+243.04))))*(1061+0.444*((C213+0.6*'Cooling Tower &amp; Corrugated Fill'!$C$12))))-('Merkel Solver'!$C$4+'Cooling Tower &amp; Corrugated Fill'!$C$13*0.6*'Cooling Tower &amp; Corrugated Fill'!$C$12)</f>
        <v/>
      </c>
      <c r="G213" s="14">
        <f>(0.24*((C213+0.9*'Cooling Tower &amp; Corrugated Fill'!$C$12))+0.62198*(0.61094*EXP(17.625*(((C213+0.9*'Cooling Tower &amp; Corrugated Fill'!$C$12))-32)/1.8/((((C213+0.9*'Cooling Tower &amp; Corrugated Fill'!$C$12))-32)/1.8+243.04)))/('Cooling Tower &amp; Corrugated Fill'!$C$14-(0.61094*EXP(17.625*(((C213+0.9*'Cooling Tower &amp; Corrugated Fill'!$C$12))-32)/1.8/((((C213+0.9*'Cooling Tower &amp; Corrugated Fill'!$C$12))-32)/1.8+243.04))))*(1061+0.444*((C213+0.9*'Cooling Tower &amp; Corrugated Fill'!$C$12))))-('Merkel Solver'!$C$4+'Cooling Tower &amp; Corrugated Fill'!$C$13*0.9*'Cooling Tower &amp; Corrugated Fill'!$C$12)</f>
        <v/>
      </c>
      <c r="H213" s="22">
        <f>IF(MIN(D213:G213)&lt;=0,99999,'Cooling Tower &amp; Corrugated Fill'!$C$12/4*(1/D213+1/E213+1/F213+1/G213))</f>
        <v/>
      </c>
    </row>
    <row r="214">
      <c r="B214" s="30" t="n">
        <v>20.8</v>
      </c>
      <c r="C214" s="12">
        <f>'Dashboard'!$C$9+B214</f>
        <v/>
      </c>
      <c r="D214" s="14">
        <f>(0.24*((C214+0.1*'Cooling Tower &amp; Corrugated Fill'!$C$12))+0.62198*(0.61094*EXP(17.625*(((C214+0.1*'Cooling Tower &amp; Corrugated Fill'!$C$12))-32)/1.8/((((C214+0.1*'Cooling Tower &amp; Corrugated Fill'!$C$12))-32)/1.8+243.04)))/('Cooling Tower &amp; Corrugated Fill'!$C$14-(0.61094*EXP(17.625*(((C214+0.1*'Cooling Tower &amp; Corrugated Fill'!$C$12))-32)/1.8/((((C214+0.1*'Cooling Tower &amp; Corrugated Fill'!$C$12))-32)/1.8+243.04))))*(1061+0.444*((C214+0.1*'Cooling Tower &amp; Corrugated Fill'!$C$12))))-('Merkel Solver'!$C$4+'Cooling Tower &amp; Corrugated Fill'!$C$13*0.1*'Cooling Tower &amp; Corrugated Fill'!$C$12)</f>
        <v/>
      </c>
      <c r="E214" s="14">
        <f>(0.24*((C214+0.4*'Cooling Tower &amp; Corrugated Fill'!$C$12))+0.62198*(0.61094*EXP(17.625*(((C214+0.4*'Cooling Tower &amp; Corrugated Fill'!$C$12))-32)/1.8/((((C214+0.4*'Cooling Tower &amp; Corrugated Fill'!$C$12))-32)/1.8+243.04)))/('Cooling Tower &amp; Corrugated Fill'!$C$14-(0.61094*EXP(17.625*(((C214+0.4*'Cooling Tower &amp; Corrugated Fill'!$C$12))-32)/1.8/((((C214+0.4*'Cooling Tower &amp; Corrugated Fill'!$C$12))-32)/1.8+243.04))))*(1061+0.444*((C214+0.4*'Cooling Tower &amp; Corrugated Fill'!$C$12))))-('Merkel Solver'!$C$4+'Cooling Tower &amp; Corrugated Fill'!$C$13*0.4*'Cooling Tower &amp; Corrugated Fill'!$C$12)</f>
        <v/>
      </c>
      <c r="F214" s="14">
        <f>(0.24*((C214+0.6*'Cooling Tower &amp; Corrugated Fill'!$C$12))+0.62198*(0.61094*EXP(17.625*(((C214+0.6*'Cooling Tower &amp; Corrugated Fill'!$C$12))-32)/1.8/((((C214+0.6*'Cooling Tower &amp; Corrugated Fill'!$C$12))-32)/1.8+243.04)))/('Cooling Tower &amp; Corrugated Fill'!$C$14-(0.61094*EXP(17.625*(((C214+0.6*'Cooling Tower &amp; Corrugated Fill'!$C$12))-32)/1.8/((((C214+0.6*'Cooling Tower &amp; Corrugated Fill'!$C$12))-32)/1.8+243.04))))*(1061+0.444*((C214+0.6*'Cooling Tower &amp; Corrugated Fill'!$C$12))))-('Merkel Solver'!$C$4+'Cooling Tower &amp; Corrugated Fill'!$C$13*0.6*'Cooling Tower &amp; Corrugated Fill'!$C$12)</f>
        <v/>
      </c>
      <c r="G214" s="14">
        <f>(0.24*((C214+0.9*'Cooling Tower &amp; Corrugated Fill'!$C$12))+0.62198*(0.61094*EXP(17.625*(((C214+0.9*'Cooling Tower &amp; Corrugated Fill'!$C$12))-32)/1.8/((((C214+0.9*'Cooling Tower &amp; Corrugated Fill'!$C$12))-32)/1.8+243.04)))/('Cooling Tower &amp; Corrugated Fill'!$C$14-(0.61094*EXP(17.625*(((C214+0.9*'Cooling Tower &amp; Corrugated Fill'!$C$12))-32)/1.8/((((C214+0.9*'Cooling Tower &amp; Corrugated Fill'!$C$12))-32)/1.8+243.04))))*(1061+0.444*((C214+0.9*'Cooling Tower &amp; Corrugated Fill'!$C$12))))-('Merkel Solver'!$C$4+'Cooling Tower &amp; Corrugated Fill'!$C$13*0.9*'Cooling Tower &amp; Corrugated Fill'!$C$12)</f>
        <v/>
      </c>
      <c r="H214" s="22">
        <f>IF(MIN(D214:G214)&lt;=0,99999,'Cooling Tower &amp; Corrugated Fill'!$C$12/4*(1/D214+1/E214+1/F214+1/G214))</f>
        <v/>
      </c>
    </row>
    <row r="215">
      <c r="B215" s="30" t="n">
        <v>20.9</v>
      </c>
      <c r="C215" s="12">
        <f>'Dashboard'!$C$9+B215</f>
        <v/>
      </c>
      <c r="D215" s="14">
        <f>(0.24*((C215+0.1*'Cooling Tower &amp; Corrugated Fill'!$C$12))+0.62198*(0.61094*EXP(17.625*(((C215+0.1*'Cooling Tower &amp; Corrugated Fill'!$C$12))-32)/1.8/((((C215+0.1*'Cooling Tower &amp; Corrugated Fill'!$C$12))-32)/1.8+243.04)))/('Cooling Tower &amp; Corrugated Fill'!$C$14-(0.61094*EXP(17.625*(((C215+0.1*'Cooling Tower &amp; Corrugated Fill'!$C$12))-32)/1.8/((((C215+0.1*'Cooling Tower &amp; Corrugated Fill'!$C$12))-32)/1.8+243.04))))*(1061+0.444*((C215+0.1*'Cooling Tower &amp; Corrugated Fill'!$C$12))))-('Merkel Solver'!$C$4+'Cooling Tower &amp; Corrugated Fill'!$C$13*0.1*'Cooling Tower &amp; Corrugated Fill'!$C$12)</f>
        <v/>
      </c>
      <c r="E215" s="14">
        <f>(0.24*((C215+0.4*'Cooling Tower &amp; Corrugated Fill'!$C$12))+0.62198*(0.61094*EXP(17.625*(((C215+0.4*'Cooling Tower &amp; Corrugated Fill'!$C$12))-32)/1.8/((((C215+0.4*'Cooling Tower &amp; Corrugated Fill'!$C$12))-32)/1.8+243.04)))/('Cooling Tower &amp; Corrugated Fill'!$C$14-(0.61094*EXP(17.625*(((C215+0.4*'Cooling Tower &amp; Corrugated Fill'!$C$12))-32)/1.8/((((C215+0.4*'Cooling Tower &amp; Corrugated Fill'!$C$12))-32)/1.8+243.04))))*(1061+0.444*((C215+0.4*'Cooling Tower &amp; Corrugated Fill'!$C$12))))-('Merkel Solver'!$C$4+'Cooling Tower &amp; Corrugated Fill'!$C$13*0.4*'Cooling Tower &amp; Corrugated Fill'!$C$12)</f>
        <v/>
      </c>
      <c r="F215" s="14">
        <f>(0.24*((C215+0.6*'Cooling Tower &amp; Corrugated Fill'!$C$12))+0.62198*(0.61094*EXP(17.625*(((C215+0.6*'Cooling Tower &amp; Corrugated Fill'!$C$12))-32)/1.8/((((C215+0.6*'Cooling Tower &amp; Corrugated Fill'!$C$12))-32)/1.8+243.04)))/('Cooling Tower &amp; Corrugated Fill'!$C$14-(0.61094*EXP(17.625*(((C215+0.6*'Cooling Tower &amp; Corrugated Fill'!$C$12))-32)/1.8/((((C215+0.6*'Cooling Tower &amp; Corrugated Fill'!$C$12))-32)/1.8+243.04))))*(1061+0.444*((C215+0.6*'Cooling Tower &amp; Corrugated Fill'!$C$12))))-('Merkel Solver'!$C$4+'Cooling Tower &amp; Corrugated Fill'!$C$13*0.6*'Cooling Tower &amp; Corrugated Fill'!$C$12)</f>
        <v/>
      </c>
      <c r="G215" s="14">
        <f>(0.24*((C215+0.9*'Cooling Tower &amp; Corrugated Fill'!$C$12))+0.62198*(0.61094*EXP(17.625*(((C215+0.9*'Cooling Tower &amp; Corrugated Fill'!$C$12))-32)/1.8/((((C215+0.9*'Cooling Tower &amp; Corrugated Fill'!$C$12))-32)/1.8+243.04)))/('Cooling Tower &amp; Corrugated Fill'!$C$14-(0.61094*EXP(17.625*(((C215+0.9*'Cooling Tower &amp; Corrugated Fill'!$C$12))-32)/1.8/((((C215+0.9*'Cooling Tower &amp; Corrugated Fill'!$C$12))-32)/1.8+243.04))))*(1061+0.444*((C215+0.9*'Cooling Tower &amp; Corrugated Fill'!$C$12))))-('Merkel Solver'!$C$4+'Cooling Tower &amp; Corrugated Fill'!$C$13*0.9*'Cooling Tower &amp; Corrugated Fill'!$C$12)</f>
        <v/>
      </c>
      <c r="H215" s="22">
        <f>IF(MIN(D215:G215)&lt;=0,99999,'Cooling Tower &amp; Corrugated Fill'!$C$12/4*(1/D215+1/E215+1/F215+1/G215))</f>
        <v/>
      </c>
    </row>
    <row r="216">
      <c r="B216" s="30" t="n">
        <v>21</v>
      </c>
      <c r="C216" s="12">
        <f>'Dashboard'!$C$9+B216</f>
        <v/>
      </c>
      <c r="D216" s="14">
        <f>(0.24*((C216+0.1*'Cooling Tower &amp; Corrugated Fill'!$C$12))+0.62198*(0.61094*EXP(17.625*(((C216+0.1*'Cooling Tower &amp; Corrugated Fill'!$C$12))-32)/1.8/((((C216+0.1*'Cooling Tower &amp; Corrugated Fill'!$C$12))-32)/1.8+243.04)))/('Cooling Tower &amp; Corrugated Fill'!$C$14-(0.61094*EXP(17.625*(((C216+0.1*'Cooling Tower &amp; Corrugated Fill'!$C$12))-32)/1.8/((((C216+0.1*'Cooling Tower &amp; Corrugated Fill'!$C$12))-32)/1.8+243.04))))*(1061+0.444*((C216+0.1*'Cooling Tower &amp; Corrugated Fill'!$C$12))))-('Merkel Solver'!$C$4+'Cooling Tower &amp; Corrugated Fill'!$C$13*0.1*'Cooling Tower &amp; Corrugated Fill'!$C$12)</f>
        <v/>
      </c>
      <c r="E216" s="14">
        <f>(0.24*((C216+0.4*'Cooling Tower &amp; Corrugated Fill'!$C$12))+0.62198*(0.61094*EXP(17.625*(((C216+0.4*'Cooling Tower &amp; Corrugated Fill'!$C$12))-32)/1.8/((((C216+0.4*'Cooling Tower &amp; Corrugated Fill'!$C$12))-32)/1.8+243.04)))/('Cooling Tower &amp; Corrugated Fill'!$C$14-(0.61094*EXP(17.625*(((C216+0.4*'Cooling Tower &amp; Corrugated Fill'!$C$12))-32)/1.8/((((C216+0.4*'Cooling Tower &amp; Corrugated Fill'!$C$12))-32)/1.8+243.04))))*(1061+0.444*((C216+0.4*'Cooling Tower &amp; Corrugated Fill'!$C$12))))-('Merkel Solver'!$C$4+'Cooling Tower &amp; Corrugated Fill'!$C$13*0.4*'Cooling Tower &amp; Corrugated Fill'!$C$12)</f>
        <v/>
      </c>
      <c r="F216" s="14">
        <f>(0.24*((C216+0.6*'Cooling Tower &amp; Corrugated Fill'!$C$12))+0.62198*(0.61094*EXP(17.625*(((C216+0.6*'Cooling Tower &amp; Corrugated Fill'!$C$12))-32)/1.8/((((C216+0.6*'Cooling Tower &amp; Corrugated Fill'!$C$12))-32)/1.8+243.04)))/('Cooling Tower &amp; Corrugated Fill'!$C$14-(0.61094*EXP(17.625*(((C216+0.6*'Cooling Tower &amp; Corrugated Fill'!$C$12))-32)/1.8/((((C216+0.6*'Cooling Tower &amp; Corrugated Fill'!$C$12))-32)/1.8+243.04))))*(1061+0.444*((C216+0.6*'Cooling Tower &amp; Corrugated Fill'!$C$12))))-('Merkel Solver'!$C$4+'Cooling Tower &amp; Corrugated Fill'!$C$13*0.6*'Cooling Tower &amp; Corrugated Fill'!$C$12)</f>
        <v/>
      </c>
      <c r="G216" s="14">
        <f>(0.24*((C216+0.9*'Cooling Tower &amp; Corrugated Fill'!$C$12))+0.62198*(0.61094*EXP(17.625*(((C216+0.9*'Cooling Tower &amp; Corrugated Fill'!$C$12))-32)/1.8/((((C216+0.9*'Cooling Tower &amp; Corrugated Fill'!$C$12))-32)/1.8+243.04)))/('Cooling Tower &amp; Corrugated Fill'!$C$14-(0.61094*EXP(17.625*(((C216+0.9*'Cooling Tower &amp; Corrugated Fill'!$C$12))-32)/1.8/((((C216+0.9*'Cooling Tower &amp; Corrugated Fill'!$C$12))-32)/1.8+243.04))))*(1061+0.444*((C216+0.9*'Cooling Tower &amp; Corrugated Fill'!$C$12))))-('Merkel Solver'!$C$4+'Cooling Tower &amp; Corrugated Fill'!$C$13*0.9*'Cooling Tower &amp; Corrugated Fill'!$C$12)</f>
        <v/>
      </c>
      <c r="H216" s="22">
        <f>IF(MIN(D216:G216)&lt;=0,99999,'Cooling Tower &amp; Corrugated Fill'!$C$12/4*(1/D216+1/E216+1/F216+1/G216))</f>
        <v/>
      </c>
    </row>
    <row r="217">
      <c r="B217" s="30" t="n">
        <v>21.1</v>
      </c>
      <c r="C217" s="12">
        <f>'Dashboard'!$C$9+B217</f>
        <v/>
      </c>
      <c r="D217" s="14">
        <f>(0.24*((C217+0.1*'Cooling Tower &amp; Corrugated Fill'!$C$12))+0.62198*(0.61094*EXP(17.625*(((C217+0.1*'Cooling Tower &amp; Corrugated Fill'!$C$12))-32)/1.8/((((C217+0.1*'Cooling Tower &amp; Corrugated Fill'!$C$12))-32)/1.8+243.04)))/('Cooling Tower &amp; Corrugated Fill'!$C$14-(0.61094*EXP(17.625*(((C217+0.1*'Cooling Tower &amp; Corrugated Fill'!$C$12))-32)/1.8/((((C217+0.1*'Cooling Tower &amp; Corrugated Fill'!$C$12))-32)/1.8+243.04))))*(1061+0.444*((C217+0.1*'Cooling Tower &amp; Corrugated Fill'!$C$12))))-('Merkel Solver'!$C$4+'Cooling Tower &amp; Corrugated Fill'!$C$13*0.1*'Cooling Tower &amp; Corrugated Fill'!$C$12)</f>
        <v/>
      </c>
      <c r="E217" s="14">
        <f>(0.24*((C217+0.4*'Cooling Tower &amp; Corrugated Fill'!$C$12))+0.62198*(0.61094*EXP(17.625*(((C217+0.4*'Cooling Tower &amp; Corrugated Fill'!$C$12))-32)/1.8/((((C217+0.4*'Cooling Tower &amp; Corrugated Fill'!$C$12))-32)/1.8+243.04)))/('Cooling Tower &amp; Corrugated Fill'!$C$14-(0.61094*EXP(17.625*(((C217+0.4*'Cooling Tower &amp; Corrugated Fill'!$C$12))-32)/1.8/((((C217+0.4*'Cooling Tower &amp; Corrugated Fill'!$C$12))-32)/1.8+243.04))))*(1061+0.444*((C217+0.4*'Cooling Tower &amp; Corrugated Fill'!$C$12))))-('Merkel Solver'!$C$4+'Cooling Tower &amp; Corrugated Fill'!$C$13*0.4*'Cooling Tower &amp; Corrugated Fill'!$C$12)</f>
        <v/>
      </c>
      <c r="F217" s="14">
        <f>(0.24*((C217+0.6*'Cooling Tower &amp; Corrugated Fill'!$C$12))+0.62198*(0.61094*EXP(17.625*(((C217+0.6*'Cooling Tower &amp; Corrugated Fill'!$C$12))-32)/1.8/((((C217+0.6*'Cooling Tower &amp; Corrugated Fill'!$C$12))-32)/1.8+243.04)))/('Cooling Tower &amp; Corrugated Fill'!$C$14-(0.61094*EXP(17.625*(((C217+0.6*'Cooling Tower &amp; Corrugated Fill'!$C$12))-32)/1.8/((((C217+0.6*'Cooling Tower &amp; Corrugated Fill'!$C$12))-32)/1.8+243.04))))*(1061+0.444*((C217+0.6*'Cooling Tower &amp; Corrugated Fill'!$C$12))))-('Merkel Solver'!$C$4+'Cooling Tower &amp; Corrugated Fill'!$C$13*0.6*'Cooling Tower &amp; Corrugated Fill'!$C$12)</f>
        <v/>
      </c>
      <c r="G217" s="14">
        <f>(0.24*((C217+0.9*'Cooling Tower &amp; Corrugated Fill'!$C$12))+0.62198*(0.61094*EXP(17.625*(((C217+0.9*'Cooling Tower &amp; Corrugated Fill'!$C$12))-32)/1.8/((((C217+0.9*'Cooling Tower &amp; Corrugated Fill'!$C$12))-32)/1.8+243.04)))/('Cooling Tower &amp; Corrugated Fill'!$C$14-(0.61094*EXP(17.625*(((C217+0.9*'Cooling Tower &amp; Corrugated Fill'!$C$12))-32)/1.8/((((C217+0.9*'Cooling Tower &amp; Corrugated Fill'!$C$12))-32)/1.8+243.04))))*(1061+0.444*((C217+0.9*'Cooling Tower &amp; Corrugated Fill'!$C$12))))-('Merkel Solver'!$C$4+'Cooling Tower &amp; Corrugated Fill'!$C$13*0.9*'Cooling Tower &amp; Corrugated Fill'!$C$12)</f>
        <v/>
      </c>
      <c r="H217" s="22">
        <f>IF(MIN(D217:G217)&lt;=0,99999,'Cooling Tower &amp; Corrugated Fill'!$C$12/4*(1/D217+1/E217+1/F217+1/G217))</f>
        <v/>
      </c>
    </row>
    <row r="218">
      <c r="B218" s="30" t="n">
        <v>21.2</v>
      </c>
      <c r="C218" s="12">
        <f>'Dashboard'!$C$9+B218</f>
        <v/>
      </c>
      <c r="D218" s="14">
        <f>(0.24*((C218+0.1*'Cooling Tower &amp; Corrugated Fill'!$C$12))+0.62198*(0.61094*EXP(17.625*(((C218+0.1*'Cooling Tower &amp; Corrugated Fill'!$C$12))-32)/1.8/((((C218+0.1*'Cooling Tower &amp; Corrugated Fill'!$C$12))-32)/1.8+243.04)))/('Cooling Tower &amp; Corrugated Fill'!$C$14-(0.61094*EXP(17.625*(((C218+0.1*'Cooling Tower &amp; Corrugated Fill'!$C$12))-32)/1.8/((((C218+0.1*'Cooling Tower &amp; Corrugated Fill'!$C$12))-32)/1.8+243.04))))*(1061+0.444*((C218+0.1*'Cooling Tower &amp; Corrugated Fill'!$C$12))))-('Merkel Solver'!$C$4+'Cooling Tower &amp; Corrugated Fill'!$C$13*0.1*'Cooling Tower &amp; Corrugated Fill'!$C$12)</f>
        <v/>
      </c>
      <c r="E218" s="14">
        <f>(0.24*((C218+0.4*'Cooling Tower &amp; Corrugated Fill'!$C$12))+0.62198*(0.61094*EXP(17.625*(((C218+0.4*'Cooling Tower &amp; Corrugated Fill'!$C$12))-32)/1.8/((((C218+0.4*'Cooling Tower &amp; Corrugated Fill'!$C$12))-32)/1.8+243.04)))/('Cooling Tower &amp; Corrugated Fill'!$C$14-(0.61094*EXP(17.625*(((C218+0.4*'Cooling Tower &amp; Corrugated Fill'!$C$12))-32)/1.8/((((C218+0.4*'Cooling Tower &amp; Corrugated Fill'!$C$12))-32)/1.8+243.04))))*(1061+0.444*((C218+0.4*'Cooling Tower &amp; Corrugated Fill'!$C$12))))-('Merkel Solver'!$C$4+'Cooling Tower &amp; Corrugated Fill'!$C$13*0.4*'Cooling Tower &amp; Corrugated Fill'!$C$12)</f>
        <v/>
      </c>
      <c r="F218" s="14">
        <f>(0.24*((C218+0.6*'Cooling Tower &amp; Corrugated Fill'!$C$12))+0.62198*(0.61094*EXP(17.625*(((C218+0.6*'Cooling Tower &amp; Corrugated Fill'!$C$12))-32)/1.8/((((C218+0.6*'Cooling Tower &amp; Corrugated Fill'!$C$12))-32)/1.8+243.04)))/('Cooling Tower &amp; Corrugated Fill'!$C$14-(0.61094*EXP(17.625*(((C218+0.6*'Cooling Tower &amp; Corrugated Fill'!$C$12))-32)/1.8/((((C218+0.6*'Cooling Tower &amp; Corrugated Fill'!$C$12))-32)/1.8+243.04))))*(1061+0.444*((C218+0.6*'Cooling Tower &amp; Corrugated Fill'!$C$12))))-('Merkel Solver'!$C$4+'Cooling Tower &amp; Corrugated Fill'!$C$13*0.6*'Cooling Tower &amp; Corrugated Fill'!$C$12)</f>
        <v/>
      </c>
      <c r="G218" s="14">
        <f>(0.24*((C218+0.9*'Cooling Tower &amp; Corrugated Fill'!$C$12))+0.62198*(0.61094*EXP(17.625*(((C218+0.9*'Cooling Tower &amp; Corrugated Fill'!$C$12))-32)/1.8/((((C218+0.9*'Cooling Tower &amp; Corrugated Fill'!$C$12))-32)/1.8+243.04)))/('Cooling Tower &amp; Corrugated Fill'!$C$14-(0.61094*EXP(17.625*(((C218+0.9*'Cooling Tower &amp; Corrugated Fill'!$C$12))-32)/1.8/((((C218+0.9*'Cooling Tower &amp; Corrugated Fill'!$C$12))-32)/1.8+243.04))))*(1061+0.444*((C218+0.9*'Cooling Tower &amp; Corrugated Fill'!$C$12))))-('Merkel Solver'!$C$4+'Cooling Tower &amp; Corrugated Fill'!$C$13*0.9*'Cooling Tower &amp; Corrugated Fill'!$C$12)</f>
        <v/>
      </c>
      <c r="H218" s="22">
        <f>IF(MIN(D218:G218)&lt;=0,99999,'Cooling Tower &amp; Corrugated Fill'!$C$12/4*(1/D218+1/E218+1/F218+1/G218))</f>
        <v/>
      </c>
    </row>
    <row r="219">
      <c r="B219" s="30" t="n">
        <v>21.3</v>
      </c>
      <c r="C219" s="12">
        <f>'Dashboard'!$C$9+B219</f>
        <v/>
      </c>
      <c r="D219" s="14">
        <f>(0.24*((C219+0.1*'Cooling Tower &amp; Corrugated Fill'!$C$12))+0.62198*(0.61094*EXP(17.625*(((C219+0.1*'Cooling Tower &amp; Corrugated Fill'!$C$12))-32)/1.8/((((C219+0.1*'Cooling Tower &amp; Corrugated Fill'!$C$12))-32)/1.8+243.04)))/('Cooling Tower &amp; Corrugated Fill'!$C$14-(0.61094*EXP(17.625*(((C219+0.1*'Cooling Tower &amp; Corrugated Fill'!$C$12))-32)/1.8/((((C219+0.1*'Cooling Tower &amp; Corrugated Fill'!$C$12))-32)/1.8+243.04))))*(1061+0.444*((C219+0.1*'Cooling Tower &amp; Corrugated Fill'!$C$12))))-('Merkel Solver'!$C$4+'Cooling Tower &amp; Corrugated Fill'!$C$13*0.1*'Cooling Tower &amp; Corrugated Fill'!$C$12)</f>
        <v/>
      </c>
      <c r="E219" s="14">
        <f>(0.24*((C219+0.4*'Cooling Tower &amp; Corrugated Fill'!$C$12))+0.62198*(0.61094*EXP(17.625*(((C219+0.4*'Cooling Tower &amp; Corrugated Fill'!$C$12))-32)/1.8/((((C219+0.4*'Cooling Tower &amp; Corrugated Fill'!$C$12))-32)/1.8+243.04)))/('Cooling Tower &amp; Corrugated Fill'!$C$14-(0.61094*EXP(17.625*(((C219+0.4*'Cooling Tower &amp; Corrugated Fill'!$C$12))-32)/1.8/((((C219+0.4*'Cooling Tower &amp; Corrugated Fill'!$C$12))-32)/1.8+243.04))))*(1061+0.444*((C219+0.4*'Cooling Tower &amp; Corrugated Fill'!$C$12))))-('Merkel Solver'!$C$4+'Cooling Tower &amp; Corrugated Fill'!$C$13*0.4*'Cooling Tower &amp; Corrugated Fill'!$C$12)</f>
        <v/>
      </c>
      <c r="F219" s="14">
        <f>(0.24*((C219+0.6*'Cooling Tower &amp; Corrugated Fill'!$C$12))+0.62198*(0.61094*EXP(17.625*(((C219+0.6*'Cooling Tower &amp; Corrugated Fill'!$C$12))-32)/1.8/((((C219+0.6*'Cooling Tower &amp; Corrugated Fill'!$C$12))-32)/1.8+243.04)))/('Cooling Tower &amp; Corrugated Fill'!$C$14-(0.61094*EXP(17.625*(((C219+0.6*'Cooling Tower &amp; Corrugated Fill'!$C$12))-32)/1.8/((((C219+0.6*'Cooling Tower &amp; Corrugated Fill'!$C$12))-32)/1.8+243.04))))*(1061+0.444*((C219+0.6*'Cooling Tower &amp; Corrugated Fill'!$C$12))))-('Merkel Solver'!$C$4+'Cooling Tower &amp; Corrugated Fill'!$C$13*0.6*'Cooling Tower &amp; Corrugated Fill'!$C$12)</f>
        <v/>
      </c>
      <c r="G219" s="14">
        <f>(0.24*((C219+0.9*'Cooling Tower &amp; Corrugated Fill'!$C$12))+0.62198*(0.61094*EXP(17.625*(((C219+0.9*'Cooling Tower &amp; Corrugated Fill'!$C$12))-32)/1.8/((((C219+0.9*'Cooling Tower &amp; Corrugated Fill'!$C$12))-32)/1.8+243.04)))/('Cooling Tower &amp; Corrugated Fill'!$C$14-(0.61094*EXP(17.625*(((C219+0.9*'Cooling Tower &amp; Corrugated Fill'!$C$12))-32)/1.8/((((C219+0.9*'Cooling Tower &amp; Corrugated Fill'!$C$12))-32)/1.8+243.04))))*(1061+0.444*((C219+0.9*'Cooling Tower &amp; Corrugated Fill'!$C$12))))-('Merkel Solver'!$C$4+'Cooling Tower &amp; Corrugated Fill'!$C$13*0.9*'Cooling Tower &amp; Corrugated Fill'!$C$12)</f>
        <v/>
      </c>
      <c r="H219" s="22">
        <f>IF(MIN(D219:G219)&lt;=0,99999,'Cooling Tower &amp; Corrugated Fill'!$C$12/4*(1/D219+1/E219+1/F219+1/G219))</f>
        <v/>
      </c>
    </row>
    <row r="220">
      <c r="B220" s="30" t="n">
        <v>21.4</v>
      </c>
      <c r="C220" s="12">
        <f>'Dashboard'!$C$9+B220</f>
        <v/>
      </c>
      <c r="D220" s="14">
        <f>(0.24*((C220+0.1*'Cooling Tower &amp; Corrugated Fill'!$C$12))+0.62198*(0.61094*EXP(17.625*(((C220+0.1*'Cooling Tower &amp; Corrugated Fill'!$C$12))-32)/1.8/((((C220+0.1*'Cooling Tower &amp; Corrugated Fill'!$C$12))-32)/1.8+243.04)))/('Cooling Tower &amp; Corrugated Fill'!$C$14-(0.61094*EXP(17.625*(((C220+0.1*'Cooling Tower &amp; Corrugated Fill'!$C$12))-32)/1.8/((((C220+0.1*'Cooling Tower &amp; Corrugated Fill'!$C$12))-32)/1.8+243.04))))*(1061+0.444*((C220+0.1*'Cooling Tower &amp; Corrugated Fill'!$C$12))))-('Merkel Solver'!$C$4+'Cooling Tower &amp; Corrugated Fill'!$C$13*0.1*'Cooling Tower &amp; Corrugated Fill'!$C$12)</f>
        <v/>
      </c>
      <c r="E220" s="14">
        <f>(0.24*((C220+0.4*'Cooling Tower &amp; Corrugated Fill'!$C$12))+0.62198*(0.61094*EXP(17.625*(((C220+0.4*'Cooling Tower &amp; Corrugated Fill'!$C$12))-32)/1.8/((((C220+0.4*'Cooling Tower &amp; Corrugated Fill'!$C$12))-32)/1.8+243.04)))/('Cooling Tower &amp; Corrugated Fill'!$C$14-(0.61094*EXP(17.625*(((C220+0.4*'Cooling Tower &amp; Corrugated Fill'!$C$12))-32)/1.8/((((C220+0.4*'Cooling Tower &amp; Corrugated Fill'!$C$12))-32)/1.8+243.04))))*(1061+0.444*((C220+0.4*'Cooling Tower &amp; Corrugated Fill'!$C$12))))-('Merkel Solver'!$C$4+'Cooling Tower &amp; Corrugated Fill'!$C$13*0.4*'Cooling Tower &amp; Corrugated Fill'!$C$12)</f>
        <v/>
      </c>
      <c r="F220" s="14">
        <f>(0.24*((C220+0.6*'Cooling Tower &amp; Corrugated Fill'!$C$12))+0.62198*(0.61094*EXP(17.625*(((C220+0.6*'Cooling Tower &amp; Corrugated Fill'!$C$12))-32)/1.8/((((C220+0.6*'Cooling Tower &amp; Corrugated Fill'!$C$12))-32)/1.8+243.04)))/('Cooling Tower &amp; Corrugated Fill'!$C$14-(0.61094*EXP(17.625*(((C220+0.6*'Cooling Tower &amp; Corrugated Fill'!$C$12))-32)/1.8/((((C220+0.6*'Cooling Tower &amp; Corrugated Fill'!$C$12))-32)/1.8+243.04))))*(1061+0.444*((C220+0.6*'Cooling Tower &amp; Corrugated Fill'!$C$12))))-('Merkel Solver'!$C$4+'Cooling Tower &amp; Corrugated Fill'!$C$13*0.6*'Cooling Tower &amp; Corrugated Fill'!$C$12)</f>
        <v/>
      </c>
      <c r="G220" s="14">
        <f>(0.24*((C220+0.9*'Cooling Tower &amp; Corrugated Fill'!$C$12))+0.62198*(0.61094*EXP(17.625*(((C220+0.9*'Cooling Tower &amp; Corrugated Fill'!$C$12))-32)/1.8/((((C220+0.9*'Cooling Tower &amp; Corrugated Fill'!$C$12))-32)/1.8+243.04)))/('Cooling Tower &amp; Corrugated Fill'!$C$14-(0.61094*EXP(17.625*(((C220+0.9*'Cooling Tower &amp; Corrugated Fill'!$C$12))-32)/1.8/((((C220+0.9*'Cooling Tower &amp; Corrugated Fill'!$C$12))-32)/1.8+243.04))))*(1061+0.444*((C220+0.9*'Cooling Tower &amp; Corrugated Fill'!$C$12))))-('Merkel Solver'!$C$4+'Cooling Tower &amp; Corrugated Fill'!$C$13*0.9*'Cooling Tower &amp; Corrugated Fill'!$C$12)</f>
        <v/>
      </c>
      <c r="H220" s="22">
        <f>IF(MIN(D220:G220)&lt;=0,99999,'Cooling Tower &amp; Corrugated Fill'!$C$12/4*(1/D220+1/E220+1/F220+1/G220))</f>
        <v/>
      </c>
    </row>
    <row r="221">
      <c r="B221" s="30" t="n">
        <v>21.5</v>
      </c>
      <c r="C221" s="12">
        <f>'Dashboard'!$C$9+B221</f>
        <v/>
      </c>
      <c r="D221" s="14">
        <f>(0.24*((C221+0.1*'Cooling Tower &amp; Corrugated Fill'!$C$12))+0.62198*(0.61094*EXP(17.625*(((C221+0.1*'Cooling Tower &amp; Corrugated Fill'!$C$12))-32)/1.8/((((C221+0.1*'Cooling Tower &amp; Corrugated Fill'!$C$12))-32)/1.8+243.04)))/('Cooling Tower &amp; Corrugated Fill'!$C$14-(0.61094*EXP(17.625*(((C221+0.1*'Cooling Tower &amp; Corrugated Fill'!$C$12))-32)/1.8/((((C221+0.1*'Cooling Tower &amp; Corrugated Fill'!$C$12))-32)/1.8+243.04))))*(1061+0.444*((C221+0.1*'Cooling Tower &amp; Corrugated Fill'!$C$12))))-('Merkel Solver'!$C$4+'Cooling Tower &amp; Corrugated Fill'!$C$13*0.1*'Cooling Tower &amp; Corrugated Fill'!$C$12)</f>
        <v/>
      </c>
      <c r="E221" s="14">
        <f>(0.24*((C221+0.4*'Cooling Tower &amp; Corrugated Fill'!$C$12))+0.62198*(0.61094*EXP(17.625*(((C221+0.4*'Cooling Tower &amp; Corrugated Fill'!$C$12))-32)/1.8/((((C221+0.4*'Cooling Tower &amp; Corrugated Fill'!$C$12))-32)/1.8+243.04)))/('Cooling Tower &amp; Corrugated Fill'!$C$14-(0.61094*EXP(17.625*(((C221+0.4*'Cooling Tower &amp; Corrugated Fill'!$C$12))-32)/1.8/((((C221+0.4*'Cooling Tower &amp; Corrugated Fill'!$C$12))-32)/1.8+243.04))))*(1061+0.444*((C221+0.4*'Cooling Tower &amp; Corrugated Fill'!$C$12))))-('Merkel Solver'!$C$4+'Cooling Tower &amp; Corrugated Fill'!$C$13*0.4*'Cooling Tower &amp; Corrugated Fill'!$C$12)</f>
        <v/>
      </c>
      <c r="F221" s="14">
        <f>(0.24*((C221+0.6*'Cooling Tower &amp; Corrugated Fill'!$C$12))+0.62198*(0.61094*EXP(17.625*(((C221+0.6*'Cooling Tower &amp; Corrugated Fill'!$C$12))-32)/1.8/((((C221+0.6*'Cooling Tower &amp; Corrugated Fill'!$C$12))-32)/1.8+243.04)))/('Cooling Tower &amp; Corrugated Fill'!$C$14-(0.61094*EXP(17.625*(((C221+0.6*'Cooling Tower &amp; Corrugated Fill'!$C$12))-32)/1.8/((((C221+0.6*'Cooling Tower &amp; Corrugated Fill'!$C$12))-32)/1.8+243.04))))*(1061+0.444*((C221+0.6*'Cooling Tower &amp; Corrugated Fill'!$C$12))))-('Merkel Solver'!$C$4+'Cooling Tower &amp; Corrugated Fill'!$C$13*0.6*'Cooling Tower &amp; Corrugated Fill'!$C$12)</f>
        <v/>
      </c>
      <c r="G221" s="14">
        <f>(0.24*((C221+0.9*'Cooling Tower &amp; Corrugated Fill'!$C$12))+0.62198*(0.61094*EXP(17.625*(((C221+0.9*'Cooling Tower &amp; Corrugated Fill'!$C$12))-32)/1.8/((((C221+0.9*'Cooling Tower &amp; Corrugated Fill'!$C$12))-32)/1.8+243.04)))/('Cooling Tower &amp; Corrugated Fill'!$C$14-(0.61094*EXP(17.625*(((C221+0.9*'Cooling Tower &amp; Corrugated Fill'!$C$12))-32)/1.8/((((C221+0.9*'Cooling Tower &amp; Corrugated Fill'!$C$12))-32)/1.8+243.04))))*(1061+0.444*((C221+0.9*'Cooling Tower &amp; Corrugated Fill'!$C$12))))-('Merkel Solver'!$C$4+'Cooling Tower &amp; Corrugated Fill'!$C$13*0.9*'Cooling Tower &amp; Corrugated Fill'!$C$12)</f>
        <v/>
      </c>
      <c r="H221" s="22">
        <f>IF(MIN(D221:G221)&lt;=0,99999,'Cooling Tower &amp; Corrugated Fill'!$C$12/4*(1/D221+1/E221+1/F221+1/G221))</f>
        <v/>
      </c>
    </row>
    <row r="222">
      <c r="B222" s="30" t="n">
        <v>21.6</v>
      </c>
      <c r="C222" s="12">
        <f>'Dashboard'!$C$9+B222</f>
        <v/>
      </c>
      <c r="D222" s="14">
        <f>(0.24*((C222+0.1*'Cooling Tower &amp; Corrugated Fill'!$C$12))+0.62198*(0.61094*EXP(17.625*(((C222+0.1*'Cooling Tower &amp; Corrugated Fill'!$C$12))-32)/1.8/((((C222+0.1*'Cooling Tower &amp; Corrugated Fill'!$C$12))-32)/1.8+243.04)))/('Cooling Tower &amp; Corrugated Fill'!$C$14-(0.61094*EXP(17.625*(((C222+0.1*'Cooling Tower &amp; Corrugated Fill'!$C$12))-32)/1.8/((((C222+0.1*'Cooling Tower &amp; Corrugated Fill'!$C$12))-32)/1.8+243.04))))*(1061+0.444*((C222+0.1*'Cooling Tower &amp; Corrugated Fill'!$C$12))))-('Merkel Solver'!$C$4+'Cooling Tower &amp; Corrugated Fill'!$C$13*0.1*'Cooling Tower &amp; Corrugated Fill'!$C$12)</f>
        <v/>
      </c>
      <c r="E222" s="14">
        <f>(0.24*((C222+0.4*'Cooling Tower &amp; Corrugated Fill'!$C$12))+0.62198*(0.61094*EXP(17.625*(((C222+0.4*'Cooling Tower &amp; Corrugated Fill'!$C$12))-32)/1.8/((((C222+0.4*'Cooling Tower &amp; Corrugated Fill'!$C$12))-32)/1.8+243.04)))/('Cooling Tower &amp; Corrugated Fill'!$C$14-(0.61094*EXP(17.625*(((C222+0.4*'Cooling Tower &amp; Corrugated Fill'!$C$12))-32)/1.8/((((C222+0.4*'Cooling Tower &amp; Corrugated Fill'!$C$12))-32)/1.8+243.04))))*(1061+0.444*((C222+0.4*'Cooling Tower &amp; Corrugated Fill'!$C$12))))-('Merkel Solver'!$C$4+'Cooling Tower &amp; Corrugated Fill'!$C$13*0.4*'Cooling Tower &amp; Corrugated Fill'!$C$12)</f>
        <v/>
      </c>
      <c r="F222" s="14">
        <f>(0.24*((C222+0.6*'Cooling Tower &amp; Corrugated Fill'!$C$12))+0.62198*(0.61094*EXP(17.625*(((C222+0.6*'Cooling Tower &amp; Corrugated Fill'!$C$12))-32)/1.8/((((C222+0.6*'Cooling Tower &amp; Corrugated Fill'!$C$12))-32)/1.8+243.04)))/('Cooling Tower &amp; Corrugated Fill'!$C$14-(0.61094*EXP(17.625*(((C222+0.6*'Cooling Tower &amp; Corrugated Fill'!$C$12))-32)/1.8/((((C222+0.6*'Cooling Tower &amp; Corrugated Fill'!$C$12))-32)/1.8+243.04))))*(1061+0.444*((C222+0.6*'Cooling Tower &amp; Corrugated Fill'!$C$12))))-('Merkel Solver'!$C$4+'Cooling Tower &amp; Corrugated Fill'!$C$13*0.6*'Cooling Tower &amp; Corrugated Fill'!$C$12)</f>
        <v/>
      </c>
      <c r="G222" s="14">
        <f>(0.24*((C222+0.9*'Cooling Tower &amp; Corrugated Fill'!$C$12))+0.62198*(0.61094*EXP(17.625*(((C222+0.9*'Cooling Tower &amp; Corrugated Fill'!$C$12))-32)/1.8/((((C222+0.9*'Cooling Tower &amp; Corrugated Fill'!$C$12))-32)/1.8+243.04)))/('Cooling Tower &amp; Corrugated Fill'!$C$14-(0.61094*EXP(17.625*(((C222+0.9*'Cooling Tower &amp; Corrugated Fill'!$C$12))-32)/1.8/((((C222+0.9*'Cooling Tower &amp; Corrugated Fill'!$C$12))-32)/1.8+243.04))))*(1061+0.444*((C222+0.9*'Cooling Tower &amp; Corrugated Fill'!$C$12))))-('Merkel Solver'!$C$4+'Cooling Tower &amp; Corrugated Fill'!$C$13*0.9*'Cooling Tower &amp; Corrugated Fill'!$C$12)</f>
        <v/>
      </c>
      <c r="H222" s="22">
        <f>IF(MIN(D222:G222)&lt;=0,99999,'Cooling Tower &amp; Corrugated Fill'!$C$12/4*(1/D222+1/E222+1/F222+1/G222))</f>
        <v/>
      </c>
    </row>
    <row r="223">
      <c r="B223" s="30" t="n">
        <v>21.7</v>
      </c>
      <c r="C223" s="12">
        <f>'Dashboard'!$C$9+B223</f>
        <v/>
      </c>
      <c r="D223" s="14">
        <f>(0.24*((C223+0.1*'Cooling Tower &amp; Corrugated Fill'!$C$12))+0.62198*(0.61094*EXP(17.625*(((C223+0.1*'Cooling Tower &amp; Corrugated Fill'!$C$12))-32)/1.8/((((C223+0.1*'Cooling Tower &amp; Corrugated Fill'!$C$12))-32)/1.8+243.04)))/('Cooling Tower &amp; Corrugated Fill'!$C$14-(0.61094*EXP(17.625*(((C223+0.1*'Cooling Tower &amp; Corrugated Fill'!$C$12))-32)/1.8/((((C223+0.1*'Cooling Tower &amp; Corrugated Fill'!$C$12))-32)/1.8+243.04))))*(1061+0.444*((C223+0.1*'Cooling Tower &amp; Corrugated Fill'!$C$12))))-('Merkel Solver'!$C$4+'Cooling Tower &amp; Corrugated Fill'!$C$13*0.1*'Cooling Tower &amp; Corrugated Fill'!$C$12)</f>
        <v/>
      </c>
      <c r="E223" s="14">
        <f>(0.24*((C223+0.4*'Cooling Tower &amp; Corrugated Fill'!$C$12))+0.62198*(0.61094*EXP(17.625*(((C223+0.4*'Cooling Tower &amp; Corrugated Fill'!$C$12))-32)/1.8/((((C223+0.4*'Cooling Tower &amp; Corrugated Fill'!$C$12))-32)/1.8+243.04)))/('Cooling Tower &amp; Corrugated Fill'!$C$14-(0.61094*EXP(17.625*(((C223+0.4*'Cooling Tower &amp; Corrugated Fill'!$C$12))-32)/1.8/((((C223+0.4*'Cooling Tower &amp; Corrugated Fill'!$C$12))-32)/1.8+243.04))))*(1061+0.444*((C223+0.4*'Cooling Tower &amp; Corrugated Fill'!$C$12))))-('Merkel Solver'!$C$4+'Cooling Tower &amp; Corrugated Fill'!$C$13*0.4*'Cooling Tower &amp; Corrugated Fill'!$C$12)</f>
        <v/>
      </c>
      <c r="F223" s="14">
        <f>(0.24*((C223+0.6*'Cooling Tower &amp; Corrugated Fill'!$C$12))+0.62198*(0.61094*EXP(17.625*(((C223+0.6*'Cooling Tower &amp; Corrugated Fill'!$C$12))-32)/1.8/((((C223+0.6*'Cooling Tower &amp; Corrugated Fill'!$C$12))-32)/1.8+243.04)))/('Cooling Tower &amp; Corrugated Fill'!$C$14-(0.61094*EXP(17.625*(((C223+0.6*'Cooling Tower &amp; Corrugated Fill'!$C$12))-32)/1.8/((((C223+0.6*'Cooling Tower &amp; Corrugated Fill'!$C$12))-32)/1.8+243.04))))*(1061+0.444*((C223+0.6*'Cooling Tower &amp; Corrugated Fill'!$C$12))))-('Merkel Solver'!$C$4+'Cooling Tower &amp; Corrugated Fill'!$C$13*0.6*'Cooling Tower &amp; Corrugated Fill'!$C$12)</f>
        <v/>
      </c>
      <c r="G223" s="14">
        <f>(0.24*((C223+0.9*'Cooling Tower &amp; Corrugated Fill'!$C$12))+0.62198*(0.61094*EXP(17.625*(((C223+0.9*'Cooling Tower &amp; Corrugated Fill'!$C$12))-32)/1.8/((((C223+0.9*'Cooling Tower &amp; Corrugated Fill'!$C$12))-32)/1.8+243.04)))/('Cooling Tower &amp; Corrugated Fill'!$C$14-(0.61094*EXP(17.625*(((C223+0.9*'Cooling Tower &amp; Corrugated Fill'!$C$12))-32)/1.8/((((C223+0.9*'Cooling Tower &amp; Corrugated Fill'!$C$12))-32)/1.8+243.04))))*(1061+0.444*((C223+0.9*'Cooling Tower &amp; Corrugated Fill'!$C$12))))-('Merkel Solver'!$C$4+'Cooling Tower &amp; Corrugated Fill'!$C$13*0.9*'Cooling Tower &amp; Corrugated Fill'!$C$12)</f>
        <v/>
      </c>
      <c r="H223" s="22">
        <f>IF(MIN(D223:G223)&lt;=0,99999,'Cooling Tower &amp; Corrugated Fill'!$C$12/4*(1/D223+1/E223+1/F223+1/G223))</f>
        <v/>
      </c>
    </row>
    <row r="224">
      <c r="B224" s="30" t="n">
        <v>21.8</v>
      </c>
      <c r="C224" s="12">
        <f>'Dashboard'!$C$9+B224</f>
        <v/>
      </c>
      <c r="D224" s="14">
        <f>(0.24*((C224+0.1*'Cooling Tower &amp; Corrugated Fill'!$C$12))+0.62198*(0.61094*EXP(17.625*(((C224+0.1*'Cooling Tower &amp; Corrugated Fill'!$C$12))-32)/1.8/((((C224+0.1*'Cooling Tower &amp; Corrugated Fill'!$C$12))-32)/1.8+243.04)))/('Cooling Tower &amp; Corrugated Fill'!$C$14-(0.61094*EXP(17.625*(((C224+0.1*'Cooling Tower &amp; Corrugated Fill'!$C$12))-32)/1.8/((((C224+0.1*'Cooling Tower &amp; Corrugated Fill'!$C$12))-32)/1.8+243.04))))*(1061+0.444*((C224+0.1*'Cooling Tower &amp; Corrugated Fill'!$C$12))))-('Merkel Solver'!$C$4+'Cooling Tower &amp; Corrugated Fill'!$C$13*0.1*'Cooling Tower &amp; Corrugated Fill'!$C$12)</f>
        <v/>
      </c>
      <c r="E224" s="14">
        <f>(0.24*((C224+0.4*'Cooling Tower &amp; Corrugated Fill'!$C$12))+0.62198*(0.61094*EXP(17.625*(((C224+0.4*'Cooling Tower &amp; Corrugated Fill'!$C$12))-32)/1.8/((((C224+0.4*'Cooling Tower &amp; Corrugated Fill'!$C$12))-32)/1.8+243.04)))/('Cooling Tower &amp; Corrugated Fill'!$C$14-(0.61094*EXP(17.625*(((C224+0.4*'Cooling Tower &amp; Corrugated Fill'!$C$12))-32)/1.8/((((C224+0.4*'Cooling Tower &amp; Corrugated Fill'!$C$12))-32)/1.8+243.04))))*(1061+0.444*((C224+0.4*'Cooling Tower &amp; Corrugated Fill'!$C$12))))-('Merkel Solver'!$C$4+'Cooling Tower &amp; Corrugated Fill'!$C$13*0.4*'Cooling Tower &amp; Corrugated Fill'!$C$12)</f>
        <v/>
      </c>
      <c r="F224" s="14">
        <f>(0.24*((C224+0.6*'Cooling Tower &amp; Corrugated Fill'!$C$12))+0.62198*(0.61094*EXP(17.625*(((C224+0.6*'Cooling Tower &amp; Corrugated Fill'!$C$12))-32)/1.8/((((C224+0.6*'Cooling Tower &amp; Corrugated Fill'!$C$12))-32)/1.8+243.04)))/('Cooling Tower &amp; Corrugated Fill'!$C$14-(0.61094*EXP(17.625*(((C224+0.6*'Cooling Tower &amp; Corrugated Fill'!$C$12))-32)/1.8/((((C224+0.6*'Cooling Tower &amp; Corrugated Fill'!$C$12))-32)/1.8+243.04))))*(1061+0.444*((C224+0.6*'Cooling Tower &amp; Corrugated Fill'!$C$12))))-('Merkel Solver'!$C$4+'Cooling Tower &amp; Corrugated Fill'!$C$13*0.6*'Cooling Tower &amp; Corrugated Fill'!$C$12)</f>
        <v/>
      </c>
      <c r="G224" s="14">
        <f>(0.24*((C224+0.9*'Cooling Tower &amp; Corrugated Fill'!$C$12))+0.62198*(0.61094*EXP(17.625*(((C224+0.9*'Cooling Tower &amp; Corrugated Fill'!$C$12))-32)/1.8/((((C224+0.9*'Cooling Tower &amp; Corrugated Fill'!$C$12))-32)/1.8+243.04)))/('Cooling Tower &amp; Corrugated Fill'!$C$14-(0.61094*EXP(17.625*(((C224+0.9*'Cooling Tower &amp; Corrugated Fill'!$C$12))-32)/1.8/((((C224+0.9*'Cooling Tower &amp; Corrugated Fill'!$C$12))-32)/1.8+243.04))))*(1061+0.444*((C224+0.9*'Cooling Tower &amp; Corrugated Fill'!$C$12))))-('Merkel Solver'!$C$4+'Cooling Tower &amp; Corrugated Fill'!$C$13*0.9*'Cooling Tower &amp; Corrugated Fill'!$C$12)</f>
        <v/>
      </c>
      <c r="H224" s="22">
        <f>IF(MIN(D224:G224)&lt;=0,99999,'Cooling Tower &amp; Corrugated Fill'!$C$12/4*(1/D224+1/E224+1/F224+1/G224))</f>
        <v/>
      </c>
    </row>
    <row r="225">
      <c r="B225" s="30" t="n">
        <v>21.9</v>
      </c>
      <c r="C225" s="12">
        <f>'Dashboard'!$C$9+B225</f>
        <v/>
      </c>
      <c r="D225" s="14">
        <f>(0.24*((C225+0.1*'Cooling Tower &amp; Corrugated Fill'!$C$12))+0.62198*(0.61094*EXP(17.625*(((C225+0.1*'Cooling Tower &amp; Corrugated Fill'!$C$12))-32)/1.8/((((C225+0.1*'Cooling Tower &amp; Corrugated Fill'!$C$12))-32)/1.8+243.04)))/('Cooling Tower &amp; Corrugated Fill'!$C$14-(0.61094*EXP(17.625*(((C225+0.1*'Cooling Tower &amp; Corrugated Fill'!$C$12))-32)/1.8/((((C225+0.1*'Cooling Tower &amp; Corrugated Fill'!$C$12))-32)/1.8+243.04))))*(1061+0.444*((C225+0.1*'Cooling Tower &amp; Corrugated Fill'!$C$12))))-('Merkel Solver'!$C$4+'Cooling Tower &amp; Corrugated Fill'!$C$13*0.1*'Cooling Tower &amp; Corrugated Fill'!$C$12)</f>
        <v/>
      </c>
      <c r="E225" s="14">
        <f>(0.24*((C225+0.4*'Cooling Tower &amp; Corrugated Fill'!$C$12))+0.62198*(0.61094*EXP(17.625*(((C225+0.4*'Cooling Tower &amp; Corrugated Fill'!$C$12))-32)/1.8/((((C225+0.4*'Cooling Tower &amp; Corrugated Fill'!$C$12))-32)/1.8+243.04)))/('Cooling Tower &amp; Corrugated Fill'!$C$14-(0.61094*EXP(17.625*(((C225+0.4*'Cooling Tower &amp; Corrugated Fill'!$C$12))-32)/1.8/((((C225+0.4*'Cooling Tower &amp; Corrugated Fill'!$C$12))-32)/1.8+243.04))))*(1061+0.444*((C225+0.4*'Cooling Tower &amp; Corrugated Fill'!$C$12))))-('Merkel Solver'!$C$4+'Cooling Tower &amp; Corrugated Fill'!$C$13*0.4*'Cooling Tower &amp; Corrugated Fill'!$C$12)</f>
        <v/>
      </c>
      <c r="F225" s="14">
        <f>(0.24*((C225+0.6*'Cooling Tower &amp; Corrugated Fill'!$C$12))+0.62198*(0.61094*EXP(17.625*(((C225+0.6*'Cooling Tower &amp; Corrugated Fill'!$C$12))-32)/1.8/((((C225+0.6*'Cooling Tower &amp; Corrugated Fill'!$C$12))-32)/1.8+243.04)))/('Cooling Tower &amp; Corrugated Fill'!$C$14-(0.61094*EXP(17.625*(((C225+0.6*'Cooling Tower &amp; Corrugated Fill'!$C$12))-32)/1.8/((((C225+0.6*'Cooling Tower &amp; Corrugated Fill'!$C$12))-32)/1.8+243.04))))*(1061+0.444*((C225+0.6*'Cooling Tower &amp; Corrugated Fill'!$C$12))))-('Merkel Solver'!$C$4+'Cooling Tower &amp; Corrugated Fill'!$C$13*0.6*'Cooling Tower &amp; Corrugated Fill'!$C$12)</f>
        <v/>
      </c>
      <c r="G225" s="14">
        <f>(0.24*((C225+0.9*'Cooling Tower &amp; Corrugated Fill'!$C$12))+0.62198*(0.61094*EXP(17.625*(((C225+0.9*'Cooling Tower &amp; Corrugated Fill'!$C$12))-32)/1.8/((((C225+0.9*'Cooling Tower &amp; Corrugated Fill'!$C$12))-32)/1.8+243.04)))/('Cooling Tower &amp; Corrugated Fill'!$C$14-(0.61094*EXP(17.625*(((C225+0.9*'Cooling Tower &amp; Corrugated Fill'!$C$12))-32)/1.8/((((C225+0.9*'Cooling Tower &amp; Corrugated Fill'!$C$12))-32)/1.8+243.04))))*(1061+0.444*((C225+0.9*'Cooling Tower &amp; Corrugated Fill'!$C$12))))-('Merkel Solver'!$C$4+'Cooling Tower &amp; Corrugated Fill'!$C$13*0.9*'Cooling Tower &amp; Corrugated Fill'!$C$12)</f>
        <v/>
      </c>
      <c r="H225" s="22">
        <f>IF(MIN(D225:G225)&lt;=0,99999,'Cooling Tower &amp; Corrugated Fill'!$C$12/4*(1/D225+1/E225+1/F225+1/G225))</f>
        <v/>
      </c>
    </row>
    <row r="226">
      <c r="B226" s="30" t="n">
        <v>22</v>
      </c>
      <c r="C226" s="12">
        <f>'Dashboard'!$C$9+B226</f>
        <v/>
      </c>
      <c r="D226" s="14">
        <f>(0.24*((C226+0.1*'Cooling Tower &amp; Corrugated Fill'!$C$12))+0.62198*(0.61094*EXP(17.625*(((C226+0.1*'Cooling Tower &amp; Corrugated Fill'!$C$12))-32)/1.8/((((C226+0.1*'Cooling Tower &amp; Corrugated Fill'!$C$12))-32)/1.8+243.04)))/('Cooling Tower &amp; Corrugated Fill'!$C$14-(0.61094*EXP(17.625*(((C226+0.1*'Cooling Tower &amp; Corrugated Fill'!$C$12))-32)/1.8/((((C226+0.1*'Cooling Tower &amp; Corrugated Fill'!$C$12))-32)/1.8+243.04))))*(1061+0.444*((C226+0.1*'Cooling Tower &amp; Corrugated Fill'!$C$12))))-('Merkel Solver'!$C$4+'Cooling Tower &amp; Corrugated Fill'!$C$13*0.1*'Cooling Tower &amp; Corrugated Fill'!$C$12)</f>
        <v/>
      </c>
      <c r="E226" s="14">
        <f>(0.24*((C226+0.4*'Cooling Tower &amp; Corrugated Fill'!$C$12))+0.62198*(0.61094*EXP(17.625*(((C226+0.4*'Cooling Tower &amp; Corrugated Fill'!$C$12))-32)/1.8/((((C226+0.4*'Cooling Tower &amp; Corrugated Fill'!$C$12))-32)/1.8+243.04)))/('Cooling Tower &amp; Corrugated Fill'!$C$14-(0.61094*EXP(17.625*(((C226+0.4*'Cooling Tower &amp; Corrugated Fill'!$C$12))-32)/1.8/((((C226+0.4*'Cooling Tower &amp; Corrugated Fill'!$C$12))-32)/1.8+243.04))))*(1061+0.444*((C226+0.4*'Cooling Tower &amp; Corrugated Fill'!$C$12))))-('Merkel Solver'!$C$4+'Cooling Tower &amp; Corrugated Fill'!$C$13*0.4*'Cooling Tower &amp; Corrugated Fill'!$C$12)</f>
        <v/>
      </c>
      <c r="F226" s="14">
        <f>(0.24*((C226+0.6*'Cooling Tower &amp; Corrugated Fill'!$C$12))+0.62198*(0.61094*EXP(17.625*(((C226+0.6*'Cooling Tower &amp; Corrugated Fill'!$C$12))-32)/1.8/((((C226+0.6*'Cooling Tower &amp; Corrugated Fill'!$C$12))-32)/1.8+243.04)))/('Cooling Tower &amp; Corrugated Fill'!$C$14-(0.61094*EXP(17.625*(((C226+0.6*'Cooling Tower &amp; Corrugated Fill'!$C$12))-32)/1.8/((((C226+0.6*'Cooling Tower &amp; Corrugated Fill'!$C$12))-32)/1.8+243.04))))*(1061+0.444*((C226+0.6*'Cooling Tower &amp; Corrugated Fill'!$C$12))))-('Merkel Solver'!$C$4+'Cooling Tower &amp; Corrugated Fill'!$C$13*0.6*'Cooling Tower &amp; Corrugated Fill'!$C$12)</f>
        <v/>
      </c>
      <c r="G226" s="14">
        <f>(0.24*((C226+0.9*'Cooling Tower &amp; Corrugated Fill'!$C$12))+0.62198*(0.61094*EXP(17.625*(((C226+0.9*'Cooling Tower &amp; Corrugated Fill'!$C$12))-32)/1.8/((((C226+0.9*'Cooling Tower &amp; Corrugated Fill'!$C$12))-32)/1.8+243.04)))/('Cooling Tower &amp; Corrugated Fill'!$C$14-(0.61094*EXP(17.625*(((C226+0.9*'Cooling Tower &amp; Corrugated Fill'!$C$12))-32)/1.8/((((C226+0.9*'Cooling Tower &amp; Corrugated Fill'!$C$12))-32)/1.8+243.04))))*(1061+0.444*((C226+0.9*'Cooling Tower &amp; Corrugated Fill'!$C$12))))-('Merkel Solver'!$C$4+'Cooling Tower &amp; Corrugated Fill'!$C$13*0.9*'Cooling Tower &amp; Corrugated Fill'!$C$12)</f>
        <v/>
      </c>
      <c r="H226" s="22">
        <f>IF(MIN(D226:G226)&lt;=0,99999,'Cooling Tower &amp; Corrugated Fill'!$C$12/4*(1/D226+1/E226+1/F226+1/G226))</f>
        <v/>
      </c>
    </row>
    <row r="227">
      <c r="B227" s="30" t="n">
        <v>22.1</v>
      </c>
      <c r="C227" s="12">
        <f>'Dashboard'!$C$9+B227</f>
        <v/>
      </c>
      <c r="D227" s="14">
        <f>(0.24*((C227+0.1*'Cooling Tower &amp; Corrugated Fill'!$C$12))+0.62198*(0.61094*EXP(17.625*(((C227+0.1*'Cooling Tower &amp; Corrugated Fill'!$C$12))-32)/1.8/((((C227+0.1*'Cooling Tower &amp; Corrugated Fill'!$C$12))-32)/1.8+243.04)))/('Cooling Tower &amp; Corrugated Fill'!$C$14-(0.61094*EXP(17.625*(((C227+0.1*'Cooling Tower &amp; Corrugated Fill'!$C$12))-32)/1.8/((((C227+0.1*'Cooling Tower &amp; Corrugated Fill'!$C$12))-32)/1.8+243.04))))*(1061+0.444*((C227+0.1*'Cooling Tower &amp; Corrugated Fill'!$C$12))))-('Merkel Solver'!$C$4+'Cooling Tower &amp; Corrugated Fill'!$C$13*0.1*'Cooling Tower &amp; Corrugated Fill'!$C$12)</f>
        <v/>
      </c>
      <c r="E227" s="14">
        <f>(0.24*((C227+0.4*'Cooling Tower &amp; Corrugated Fill'!$C$12))+0.62198*(0.61094*EXP(17.625*(((C227+0.4*'Cooling Tower &amp; Corrugated Fill'!$C$12))-32)/1.8/((((C227+0.4*'Cooling Tower &amp; Corrugated Fill'!$C$12))-32)/1.8+243.04)))/('Cooling Tower &amp; Corrugated Fill'!$C$14-(0.61094*EXP(17.625*(((C227+0.4*'Cooling Tower &amp; Corrugated Fill'!$C$12))-32)/1.8/((((C227+0.4*'Cooling Tower &amp; Corrugated Fill'!$C$12))-32)/1.8+243.04))))*(1061+0.444*((C227+0.4*'Cooling Tower &amp; Corrugated Fill'!$C$12))))-('Merkel Solver'!$C$4+'Cooling Tower &amp; Corrugated Fill'!$C$13*0.4*'Cooling Tower &amp; Corrugated Fill'!$C$12)</f>
        <v/>
      </c>
      <c r="F227" s="14">
        <f>(0.24*((C227+0.6*'Cooling Tower &amp; Corrugated Fill'!$C$12))+0.62198*(0.61094*EXP(17.625*(((C227+0.6*'Cooling Tower &amp; Corrugated Fill'!$C$12))-32)/1.8/((((C227+0.6*'Cooling Tower &amp; Corrugated Fill'!$C$12))-32)/1.8+243.04)))/('Cooling Tower &amp; Corrugated Fill'!$C$14-(0.61094*EXP(17.625*(((C227+0.6*'Cooling Tower &amp; Corrugated Fill'!$C$12))-32)/1.8/((((C227+0.6*'Cooling Tower &amp; Corrugated Fill'!$C$12))-32)/1.8+243.04))))*(1061+0.444*((C227+0.6*'Cooling Tower &amp; Corrugated Fill'!$C$12))))-('Merkel Solver'!$C$4+'Cooling Tower &amp; Corrugated Fill'!$C$13*0.6*'Cooling Tower &amp; Corrugated Fill'!$C$12)</f>
        <v/>
      </c>
      <c r="G227" s="14">
        <f>(0.24*((C227+0.9*'Cooling Tower &amp; Corrugated Fill'!$C$12))+0.62198*(0.61094*EXP(17.625*(((C227+0.9*'Cooling Tower &amp; Corrugated Fill'!$C$12))-32)/1.8/((((C227+0.9*'Cooling Tower &amp; Corrugated Fill'!$C$12))-32)/1.8+243.04)))/('Cooling Tower &amp; Corrugated Fill'!$C$14-(0.61094*EXP(17.625*(((C227+0.9*'Cooling Tower &amp; Corrugated Fill'!$C$12))-32)/1.8/((((C227+0.9*'Cooling Tower &amp; Corrugated Fill'!$C$12))-32)/1.8+243.04))))*(1061+0.444*((C227+0.9*'Cooling Tower &amp; Corrugated Fill'!$C$12))))-('Merkel Solver'!$C$4+'Cooling Tower &amp; Corrugated Fill'!$C$13*0.9*'Cooling Tower &amp; Corrugated Fill'!$C$12)</f>
        <v/>
      </c>
      <c r="H227" s="22">
        <f>IF(MIN(D227:G227)&lt;=0,99999,'Cooling Tower &amp; Corrugated Fill'!$C$12/4*(1/D227+1/E227+1/F227+1/G227))</f>
        <v/>
      </c>
    </row>
    <row r="228">
      <c r="B228" s="30" t="n">
        <v>22.2</v>
      </c>
      <c r="C228" s="12">
        <f>'Dashboard'!$C$9+B228</f>
        <v/>
      </c>
      <c r="D228" s="14">
        <f>(0.24*((C228+0.1*'Cooling Tower &amp; Corrugated Fill'!$C$12))+0.62198*(0.61094*EXP(17.625*(((C228+0.1*'Cooling Tower &amp; Corrugated Fill'!$C$12))-32)/1.8/((((C228+0.1*'Cooling Tower &amp; Corrugated Fill'!$C$12))-32)/1.8+243.04)))/('Cooling Tower &amp; Corrugated Fill'!$C$14-(0.61094*EXP(17.625*(((C228+0.1*'Cooling Tower &amp; Corrugated Fill'!$C$12))-32)/1.8/((((C228+0.1*'Cooling Tower &amp; Corrugated Fill'!$C$12))-32)/1.8+243.04))))*(1061+0.444*((C228+0.1*'Cooling Tower &amp; Corrugated Fill'!$C$12))))-('Merkel Solver'!$C$4+'Cooling Tower &amp; Corrugated Fill'!$C$13*0.1*'Cooling Tower &amp; Corrugated Fill'!$C$12)</f>
        <v/>
      </c>
      <c r="E228" s="14">
        <f>(0.24*((C228+0.4*'Cooling Tower &amp; Corrugated Fill'!$C$12))+0.62198*(0.61094*EXP(17.625*(((C228+0.4*'Cooling Tower &amp; Corrugated Fill'!$C$12))-32)/1.8/((((C228+0.4*'Cooling Tower &amp; Corrugated Fill'!$C$12))-32)/1.8+243.04)))/('Cooling Tower &amp; Corrugated Fill'!$C$14-(0.61094*EXP(17.625*(((C228+0.4*'Cooling Tower &amp; Corrugated Fill'!$C$12))-32)/1.8/((((C228+0.4*'Cooling Tower &amp; Corrugated Fill'!$C$12))-32)/1.8+243.04))))*(1061+0.444*((C228+0.4*'Cooling Tower &amp; Corrugated Fill'!$C$12))))-('Merkel Solver'!$C$4+'Cooling Tower &amp; Corrugated Fill'!$C$13*0.4*'Cooling Tower &amp; Corrugated Fill'!$C$12)</f>
        <v/>
      </c>
      <c r="F228" s="14">
        <f>(0.24*((C228+0.6*'Cooling Tower &amp; Corrugated Fill'!$C$12))+0.62198*(0.61094*EXP(17.625*(((C228+0.6*'Cooling Tower &amp; Corrugated Fill'!$C$12))-32)/1.8/((((C228+0.6*'Cooling Tower &amp; Corrugated Fill'!$C$12))-32)/1.8+243.04)))/('Cooling Tower &amp; Corrugated Fill'!$C$14-(0.61094*EXP(17.625*(((C228+0.6*'Cooling Tower &amp; Corrugated Fill'!$C$12))-32)/1.8/((((C228+0.6*'Cooling Tower &amp; Corrugated Fill'!$C$12))-32)/1.8+243.04))))*(1061+0.444*((C228+0.6*'Cooling Tower &amp; Corrugated Fill'!$C$12))))-('Merkel Solver'!$C$4+'Cooling Tower &amp; Corrugated Fill'!$C$13*0.6*'Cooling Tower &amp; Corrugated Fill'!$C$12)</f>
        <v/>
      </c>
      <c r="G228" s="14">
        <f>(0.24*((C228+0.9*'Cooling Tower &amp; Corrugated Fill'!$C$12))+0.62198*(0.61094*EXP(17.625*(((C228+0.9*'Cooling Tower &amp; Corrugated Fill'!$C$12))-32)/1.8/((((C228+0.9*'Cooling Tower &amp; Corrugated Fill'!$C$12))-32)/1.8+243.04)))/('Cooling Tower &amp; Corrugated Fill'!$C$14-(0.61094*EXP(17.625*(((C228+0.9*'Cooling Tower &amp; Corrugated Fill'!$C$12))-32)/1.8/((((C228+0.9*'Cooling Tower &amp; Corrugated Fill'!$C$12))-32)/1.8+243.04))))*(1061+0.444*((C228+0.9*'Cooling Tower &amp; Corrugated Fill'!$C$12))))-('Merkel Solver'!$C$4+'Cooling Tower &amp; Corrugated Fill'!$C$13*0.9*'Cooling Tower &amp; Corrugated Fill'!$C$12)</f>
        <v/>
      </c>
      <c r="H228" s="22">
        <f>IF(MIN(D228:G228)&lt;=0,99999,'Cooling Tower &amp; Corrugated Fill'!$C$12/4*(1/D228+1/E228+1/F228+1/G228))</f>
        <v/>
      </c>
    </row>
    <row r="229">
      <c r="B229" s="30" t="n">
        <v>22.3</v>
      </c>
      <c r="C229" s="12">
        <f>'Dashboard'!$C$9+B229</f>
        <v/>
      </c>
      <c r="D229" s="14">
        <f>(0.24*((C229+0.1*'Cooling Tower &amp; Corrugated Fill'!$C$12))+0.62198*(0.61094*EXP(17.625*(((C229+0.1*'Cooling Tower &amp; Corrugated Fill'!$C$12))-32)/1.8/((((C229+0.1*'Cooling Tower &amp; Corrugated Fill'!$C$12))-32)/1.8+243.04)))/('Cooling Tower &amp; Corrugated Fill'!$C$14-(0.61094*EXP(17.625*(((C229+0.1*'Cooling Tower &amp; Corrugated Fill'!$C$12))-32)/1.8/((((C229+0.1*'Cooling Tower &amp; Corrugated Fill'!$C$12))-32)/1.8+243.04))))*(1061+0.444*((C229+0.1*'Cooling Tower &amp; Corrugated Fill'!$C$12))))-('Merkel Solver'!$C$4+'Cooling Tower &amp; Corrugated Fill'!$C$13*0.1*'Cooling Tower &amp; Corrugated Fill'!$C$12)</f>
        <v/>
      </c>
      <c r="E229" s="14">
        <f>(0.24*((C229+0.4*'Cooling Tower &amp; Corrugated Fill'!$C$12))+0.62198*(0.61094*EXP(17.625*(((C229+0.4*'Cooling Tower &amp; Corrugated Fill'!$C$12))-32)/1.8/((((C229+0.4*'Cooling Tower &amp; Corrugated Fill'!$C$12))-32)/1.8+243.04)))/('Cooling Tower &amp; Corrugated Fill'!$C$14-(0.61094*EXP(17.625*(((C229+0.4*'Cooling Tower &amp; Corrugated Fill'!$C$12))-32)/1.8/((((C229+0.4*'Cooling Tower &amp; Corrugated Fill'!$C$12))-32)/1.8+243.04))))*(1061+0.444*((C229+0.4*'Cooling Tower &amp; Corrugated Fill'!$C$12))))-('Merkel Solver'!$C$4+'Cooling Tower &amp; Corrugated Fill'!$C$13*0.4*'Cooling Tower &amp; Corrugated Fill'!$C$12)</f>
        <v/>
      </c>
      <c r="F229" s="14">
        <f>(0.24*((C229+0.6*'Cooling Tower &amp; Corrugated Fill'!$C$12))+0.62198*(0.61094*EXP(17.625*(((C229+0.6*'Cooling Tower &amp; Corrugated Fill'!$C$12))-32)/1.8/((((C229+0.6*'Cooling Tower &amp; Corrugated Fill'!$C$12))-32)/1.8+243.04)))/('Cooling Tower &amp; Corrugated Fill'!$C$14-(0.61094*EXP(17.625*(((C229+0.6*'Cooling Tower &amp; Corrugated Fill'!$C$12))-32)/1.8/((((C229+0.6*'Cooling Tower &amp; Corrugated Fill'!$C$12))-32)/1.8+243.04))))*(1061+0.444*((C229+0.6*'Cooling Tower &amp; Corrugated Fill'!$C$12))))-('Merkel Solver'!$C$4+'Cooling Tower &amp; Corrugated Fill'!$C$13*0.6*'Cooling Tower &amp; Corrugated Fill'!$C$12)</f>
        <v/>
      </c>
      <c r="G229" s="14">
        <f>(0.24*((C229+0.9*'Cooling Tower &amp; Corrugated Fill'!$C$12))+0.62198*(0.61094*EXP(17.625*(((C229+0.9*'Cooling Tower &amp; Corrugated Fill'!$C$12))-32)/1.8/((((C229+0.9*'Cooling Tower &amp; Corrugated Fill'!$C$12))-32)/1.8+243.04)))/('Cooling Tower &amp; Corrugated Fill'!$C$14-(0.61094*EXP(17.625*(((C229+0.9*'Cooling Tower &amp; Corrugated Fill'!$C$12))-32)/1.8/((((C229+0.9*'Cooling Tower &amp; Corrugated Fill'!$C$12))-32)/1.8+243.04))))*(1061+0.444*((C229+0.9*'Cooling Tower &amp; Corrugated Fill'!$C$12))))-('Merkel Solver'!$C$4+'Cooling Tower &amp; Corrugated Fill'!$C$13*0.9*'Cooling Tower &amp; Corrugated Fill'!$C$12)</f>
        <v/>
      </c>
      <c r="H229" s="22">
        <f>IF(MIN(D229:G229)&lt;=0,99999,'Cooling Tower &amp; Corrugated Fill'!$C$12/4*(1/D229+1/E229+1/F229+1/G229))</f>
        <v/>
      </c>
    </row>
    <row r="230">
      <c r="B230" s="30" t="n">
        <v>22.4</v>
      </c>
      <c r="C230" s="12">
        <f>'Dashboard'!$C$9+B230</f>
        <v/>
      </c>
      <c r="D230" s="14">
        <f>(0.24*((C230+0.1*'Cooling Tower &amp; Corrugated Fill'!$C$12))+0.62198*(0.61094*EXP(17.625*(((C230+0.1*'Cooling Tower &amp; Corrugated Fill'!$C$12))-32)/1.8/((((C230+0.1*'Cooling Tower &amp; Corrugated Fill'!$C$12))-32)/1.8+243.04)))/('Cooling Tower &amp; Corrugated Fill'!$C$14-(0.61094*EXP(17.625*(((C230+0.1*'Cooling Tower &amp; Corrugated Fill'!$C$12))-32)/1.8/((((C230+0.1*'Cooling Tower &amp; Corrugated Fill'!$C$12))-32)/1.8+243.04))))*(1061+0.444*((C230+0.1*'Cooling Tower &amp; Corrugated Fill'!$C$12))))-('Merkel Solver'!$C$4+'Cooling Tower &amp; Corrugated Fill'!$C$13*0.1*'Cooling Tower &amp; Corrugated Fill'!$C$12)</f>
        <v/>
      </c>
      <c r="E230" s="14">
        <f>(0.24*((C230+0.4*'Cooling Tower &amp; Corrugated Fill'!$C$12))+0.62198*(0.61094*EXP(17.625*(((C230+0.4*'Cooling Tower &amp; Corrugated Fill'!$C$12))-32)/1.8/((((C230+0.4*'Cooling Tower &amp; Corrugated Fill'!$C$12))-32)/1.8+243.04)))/('Cooling Tower &amp; Corrugated Fill'!$C$14-(0.61094*EXP(17.625*(((C230+0.4*'Cooling Tower &amp; Corrugated Fill'!$C$12))-32)/1.8/((((C230+0.4*'Cooling Tower &amp; Corrugated Fill'!$C$12))-32)/1.8+243.04))))*(1061+0.444*((C230+0.4*'Cooling Tower &amp; Corrugated Fill'!$C$12))))-('Merkel Solver'!$C$4+'Cooling Tower &amp; Corrugated Fill'!$C$13*0.4*'Cooling Tower &amp; Corrugated Fill'!$C$12)</f>
        <v/>
      </c>
      <c r="F230" s="14">
        <f>(0.24*((C230+0.6*'Cooling Tower &amp; Corrugated Fill'!$C$12))+0.62198*(0.61094*EXP(17.625*(((C230+0.6*'Cooling Tower &amp; Corrugated Fill'!$C$12))-32)/1.8/((((C230+0.6*'Cooling Tower &amp; Corrugated Fill'!$C$12))-32)/1.8+243.04)))/('Cooling Tower &amp; Corrugated Fill'!$C$14-(0.61094*EXP(17.625*(((C230+0.6*'Cooling Tower &amp; Corrugated Fill'!$C$12))-32)/1.8/((((C230+0.6*'Cooling Tower &amp; Corrugated Fill'!$C$12))-32)/1.8+243.04))))*(1061+0.444*((C230+0.6*'Cooling Tower &amp; Corrugated Fill'!$C$12))))-('Merkel Solver'!$C$4+'Cooling Tower &amp; Corrugated Fill'!$C$13*0.6*'Cooling Tower &amp; Corrugated Fill'!$C$12)</f>
        <v/>
      </c>
      <c r="G230" s="14">
        <f>(0.24*((C230+0.9*'Cooling Tower &amp; Corrugated Fill'!$C$12))+0.62198*(0.61094*EXP(17.625*(((C230+0.9*'Cooling Tower &amp; Corrugated Fill'!$C$12))-32)/1.8/((((C230+0.9*'Cooling Tower &amp; Corrugated Fill'!$C$12))-32)/1.8+243.04)))/('Cooling Tower &amp; Corrugated Fill'!$C$14-(0.61094*EXP(17.625*(((C230+0.9*'Cooling Tower &amp; Corrugated Fill'!$C$12))-32)/1.8/((((C230+0.9*'Cooling Tower &amp; Corrugated Fill'!$C$12))-32)/1.8+243.04))))*(1061+0.444*((C230+0.9*'Cooling Tower &amp; Corrugated Fill'!$C$12))))-('Merkel Solver'!$C$4+'Cooling Tower &amp; Corrugated Fill'!$C$13*0.9*'Cooling Tower &amp; Corrugated Fill'!$C$12)</f>
        <v/>
      </c>
      <c r="H230" s="22">
        <f>IF(MIN(D230:G230)&lt;=0,99999,'Cooling Tower &amp; Corrugated Fill'!$C$12/4*(1/D230+1/E230+1/F230+1/G230))</f>
        <v/>
      </c>
    </row>
    <row r="231">
      <c r="B231" s="30" t="n">
        <v>22.5</v>
      </c>
      <c r="C231" s="12">
        <f>'Dashboard'!$C$9+B231</f>
        <v/>
      </c>
      <c r="D231" s="14">
        <f>(0.24*((C231+0.1*'Cooling Tower &amp; Corrugated Fill'!$C$12))+0.62198*(0.61094*EXP(17.625*(((C231+0.1*'Cooling Tower &amp; Corrugated Fill'!$C$12))-32)/1.8/((((C231+0.1*'Cooling Tower &amp; Corrugated Fill'!$C$12))-32)/1.8+243.04)))/('Cooling Tower &amp; Corrugated Fill'!$C$14-(0.61094*EXP(17.625*(((C231+0.1*'Cooling Tower &amp; Corrugated Fill'!$C$12))-32)/1.8/((((C231+0.1*'Cooling Tower &amp; Corrugated Fill'!$C$12))-32)/1.8+243.04))))*(1061+0.444*((C231+0.1*'Cooling Tower &amp; Corrugated Fill'!$C$12))))-('Merkel Solver'!$C$4+'Cooling Tower &amp; Corrugated Fill'!$C$13*0.1*'Cooling Tower &amp; Corrugated Fill'!$C$12)</f>
        <v/>
      </c>
      <c r="E231" s="14">
        <f>(0.24*((C231+0.4*'Cooling Tower &amp; Corrugated Fill'!$C$12))+0.62198*(0.61094*EXP(17.625*(((C231+0.4*'Cooling Tower &amp; Corrugated Fill'!$C$12))-32)/1.8/((((C231+0.4*'Cooling Tower &amp; Corrugated Fill'!$C$12))-32)/1.8+243.04)))/('Cooling Tower &amp; Corrugated Fill'!$C$14-(0.61094*EXP(17.625*(((C231+0.4*'Cooling Tower &amp; Corrugated Fill'!$C$12))-32)/1.8/((((C231+0.4*'Cooling Tower &amp; Corrugated Fill'!$C$12))-32)/1.8+243.04))))*(1061+0.444*((C231+0.4*'Cooling Tower &amp; Corrugated Fill'!$C$12))))-('Merkel Solver'!$C$4+'Cooling Tower &amp; Corrugated Fill'!$C$13*0.4*'Cooling Tower &amp; Corrugated Fill'!$C$12)</f>
        <v/>
      </c>
      <c r="F231" s="14">
        <f>(0.24*((C231+0.6*'Cooling Tower &amp; Corrugated Fill'!$C$12))+0.62198*(0.61094*EXP(17.625*(((C231+0.6*'Cooling Tower &amp; Corrugated Fill'!$C$12))-32)/1.8/((((C231+0.6*'Cooling Tower &amp; Corrugated Fill'!$C$12))-32)/1.8+243.04)))/('Cooling Tower &amp; Corrugated Fill'!$C$14-(0.61094*EXP(17.625*(((C231+0.6*'Cooling Tower &amp; Corrugated Fill'!$C$12))-32)/1.8/((((C231+0.6*'Cooling Tower &amp; Corrugated Fill'!$C$12))-32)/1.8+243.04))))*(1061+0.444*((C231+0.6*'Cooling Tower &amp; Corrugated Fill'!$C$12))))-('Merkel Solver'!$C$4+'Cooling Tower &amp; Corrugated Fill'!$C$13*0.6*'Cooling Tower &amp; Corrugated Fill'!$C$12)</f>
        <v/>
      </c>
      <c r="G231" s="14">
        <f>(0.24*((C231+0.9*'Cooling Tower &amp; Corrugated Fill'!$C$12))+0.62198*(0.61094*EXP(17.625*(((C231+0.9*'Cooling Tower &amp; Corrugated Fill'!$C$12))-32)/1.8/((((C231+0.9*'Cooling Tower &amp; Corrugated Fill'!$C$12))-32)/1.8+243.04)))/('Cooling Tower &amp; Corrugated Fill'!$C$14-(0.61094*EXP(17.625*(((C231+0.9*'Cooling Tower &amp; Corrugated Fill'!$C$12))-32)/1.8/((((C231+0.9*'Cooling Tower &amp; Corrugated Fill'!$C$12))-32)/1.8+243.04))))*(1061+0.444*((C231+0.9*'Cooling Tower &amp; Corrugated Fill'!$C$12))))-('Merkel Solver'!$C$4+'Cooling Tower &amp; Corrugated Fill'!$C$13*0.9*'Cooling Tower &amp; Corrugated Fill'!$C$12)</f>
        <v/>
      </c>
      <c r="H231" s="22">
        <f>IF(MIN(D231:G231)&lt;=0,99999,'Cooling Tower &amp; Corrugated Fill'!$C$12/4*(1/D231+1/E231+1/F231+1/G231))</f>
        <v/>
      </c>
    </row>
    <row r="232">
      <c r="B232" s="30" t="n">
        <v>22.6</v>
      </c>
      <c r="C232" s="12">
        <f>'Dashboard'!$C$9+B232</f>
        <v/>
      </c>
      <c r="D232" s="14">
        <f>(0.24*((C232+0.1*'Cooling Tower &amp; Corrugated Fill'!$C$12))+0.62198*(0.61094*EXP(17.625*(((C232+0.1*'Cooling Tower &amp; Corrugated Fill'!$C$12))-32)/1.8/((((C232+0.1*'Cooling Tower &amp; Corrugated Fill'!$C$12))-32)/1.8+243.04)))/('Cooling Tower &amp; Corrugated Fill'!$C$14-(0.61094*EXP(17.625*(((C232+0.1*'Cooling Tower &amp; Corrugated Fill'!$C$12))-32)/1.8/((((C232+0.1*'Cooling Tower &amp; Corrugated Fill'!$C$12))-32)/1.8+243.04))))*(1061+0.444*((C232+0.1*'Cooling Tower &amp; Corrugated Fill'!$C$12))))-('Merkel Solver'!$C$4+'Cooling Tower &amp; Corrugated Fill'!$C$13*0.1*'Cooling Tower &amp; Corrugated Fill'!$C$12)</f>
        <v/>
      </c>
      <c r="E232" s="14">
        <f>(0.24*((C232+0.4*'Cooling Tower &amp; Corrugated Fill'!$C$12))+0.62198*(0.61094*EXP(17.625*(((C232+0.4*'Cooling Tower &amp; Corrugated Fill'!$C$12))-32)/1.8/((((C232+0.4*'Cooling Tower &amp; Corrugated Fill'!$C$12))-32)/1.8+243.04)))/('Cooling Tower &amp; Corrugated Fill'!$C$14-(0.61094*EXP(17.625*(((C232+0.4*'Cooling Tower &amp; Corrugated Fill'!$C$12))-32)/1.8/((((C232+0.4*'Cooling Tower &amp; Corrugated Fill'!$C$12))-32)/1.8+243.04))))*(1061+0.444*((C232+0.4*'Cooling Tower &amp; Corrugated Fill'!$C$12))))-('Merkel Solver'!$C$4+'Cooling Tower &amp; Corrugated Fill'!$C$13*0.4*'Cooling Tower &amp; Corrugated Fill'!$C$12)</f>
        <v/>
      </c>
      <c r="F232" s="14">
        <f>(0.24*((C232+0.6*'Cooling Tower &amp; Corrugated Fill'!$C$12))+0.62198*(0.61094*EXP(17.625*(((C232+0.6*'Cooling Tower &amp; Corrugated Fill'!$C$12))-32)/1.8/((((C232+0.6*'Cooling Tower &amp; Corrugated Fill'!$C$12))-32)/1.8+243.04)))/('Cooling Tower &amp; Corrugated Fill'!$C$14-(0.61094*EXP(17.625*(((C232+0.6*'Cooling Tower &amp; Corrugated Fill'!$C$12))-32)/1.8/((((C232+0.6*'Cooling Tower &amp; Corrugated Fill'!$C$12))-32)/1.8+243.04))))*(1061+0.444*((C232+0.6*'Cooling Tower &amp; Corrugated Fill'!$C$12))))-('Merkel Solver'!$C$4+'Cooling Tower &amp; Corrugated Fill'!$C$13*0.6*'Cooling Tower &amp; Corrugated Fill'!$C$12)</f>
        <v/>
      </c>
      <c r="G232" s="14">
        <f>(0.24*((C232+0.9*'Cooling Tower &amp; Corrugated Fill'!$C$12))+0.62198*(0.61094*EXP(17.625*(((C232+0.9*'Cooling Tower &amp; Corrugated Fill'!$C$12))-32)/1.8/((((C232+0.9*'Cooling Tower &amp; Corrugated Fill'!$C$12))-32)/1.8+243.04)))/('Cooling Tower &amp; Corrugated Fill'!$C$14-(0.61094*EXP(17.625*(((C232+0.9*'Cooling Tower &amp; Corrugated Fill'!$C$12))-32)/1.8/((((C232+0.9*'Cooling Tower &amp; Corrugated Fill'!$C$12))-32)/1.8+243.04))))*(1061+0.444*((C232+0.9*'Cooling Tower &amp; Corrugated Fill'!$C$12))))-('Merkel Solver'!$C$4+'Cooling Tower &amp; Corrugated Fill'!$C$13*0.9*'Cooling Tower &amp; Corrugated Fill'!$C$12)</f>
        <v/>
      </c>
      <c r="H232" s="22">
        <f>IF(MIN(D232:G232)&lt;=0,99999,'Cooling Tower &amp; Corrugated Fill'!$C$12/4*(1/D232+1/E232+1/F232+1/G232))</f>
        <v/>
      </c>
    </row>
    <row r="233">
      <c r="B233" s="30" t="n">
        <v>22.7</v>
      </c>
      <c r="C233" s="12">
        <f>'Dashboard'!$C$9+B233</f>
        <v/>
      </c>
      <c r="D233" s="14">
        <f>(0.24*((C233+0.1*'Cooling Tower &amp; Corrugated Fill'!$C$12))+0.62198*(0.61094*EXP(17.625*(((C233+0.1*'Cooling Tower &amp; Corrugated Fill'!$C$12))-32)/1.8/((((C233+0.1*'Cooling Tower &amp; Corrugated Fill'!$C$12))-32)/1.8+243.04)))/('Cooling Tower &amp; Corrugated Fill'!$C$14-(0.61094*EXP(17.625*(((C233+0.1*'Cooling Tower &amp; Corrugated Fill'!$C$12))-32)/1.8/((((C233+0.1*'Cooling Tower &amp; Corrugated Fill'!$C$12))-32)/1.8+243.04))))*(1061+0.444*((C233+0.1*'Cooling Tower &amp; Corrugated Fill'!$C$12))))-('Merkel Solver'!$C$4+'Cooling Tower &amp; Corrugated Fill'!$C$13*0.1*'Cooling Tower &amp; Corrugated Fill'!$C$12)</f>
        <v/>
      </c>
      <c r="E233" s="14">
        <f>(0.24*((C233+0.4*'Cooling Tower &amp; Corrugated Fill'!$C$12))+0.62198*(0.61094*EXP(17.625*(((C233+0.4*'Cooling Tower &amp; Corrugated Fill'!$C$12))-32)/1.8/((((C233+0.4*'Cooling Tower &amp; Corrugated Fill'!$C$12))-32)/1.8+243.04)))/('Cooling Tower &amp; Corrugated Fill'!$C$14-(0.61094*EXP(17.625*(((C233+0.4*'Cooling Tower &amp; Corrugated Fill'!$C$12))-32)/1.8/((((C233+0.4*'Cooling Tower &amp; Corrugated Fill'!$C$12))-32)/1.8+243.04))))*(1061+0.444*((C233+0.4*'Cooling Tower &amp; Corrugated Fill'!$C$12))))-('Merkel Solver'!$C$4+'Cooling Tower &amp; Corrugated Fill'!$C$13*0.4*'Cooling Tower &amp; Corrugated Fill'!$C$12)</f>
        <v/>
      </c>
      <c r="F233" s="14">
        <f>(0.24*((C233+0.6*'Cooling Tower &amp; Corrugated Fill'!$C$12))+0.62198*(0.61094*EXP(17.625*(((C233+0.6*'Cooling Tower &amp; Corrugated Fill'!$C$12))-32)/1.8/((((C233+0.6*'Cooling Tower &amp; Corrugated Fill'!$C$12))-32)/1.8+243.04)))/('Cooling Tower &amp; Corrugated Fill'!$C$14-(0.61094*EXP(17.625*(((C233+0.6*'Cooling Tower &amp; Corrugated Fill'!$C$12))-32)/1.8/((((C233+0.6*'Cooling Tower &amp; Corrugated Fill'!$C$12))-32)/1.8+243.04))))*(1061+0.444*((C233+0.6*'Cooling Tower &amp; Corrugated Fill'!$C$12))))-('Merkel Solver'!$C$4+'Cooling Tower &amp; Corrugated Fill'!$C$13*0.6*'Cooling Tower &amp; Corrugated Fill'!$C$12)</f>
        <v/>
      </c>
      <c r="G233" s="14">
        <f>(0.24*((C233+0.9*'Cooling Tower &amp; Corrugated Fill'!$C$12))+0.62198*(0.61094*EXP(17.625*(((C233+0.9*'Cooling Tower &amp; Corrugated Fill'!$C$12))-32)/1.8/((((C233+0.9*'Cooling Tower &amp; Corrugated Fill'!$C$12))-32)/1.8+243.04)))/('Cooling Tower &amp; Corrugated Fill'!$C$14-(0.61094*EXP(17.625*(((C233+0.9*'Cooling Tower &amp; Corrugated Fill'!$C$12))-32)/1.8/((((C233+0.9*'Cooling Tower &amp; Corrugated Fill'!$C$12))-32)/1.8+243.04))))*(1061+0.444*((C233+0.9*'Cooling Tower &amp; Corrugated Fill'!$C$12))))-('Merkel Solver'!$C$4+'Cooling Tower &amp; Corrugated Fill'!$C$13*0.9*'Cooling Tower &amp; Corrugated Fill'!$C$12)</f>
        <v/>
      </c>
      <c r="H233" s="22">
        <f>IF(MIN(D233:G233)&lt;=0,99999,'Cooling Tower &amp; Corrugated Fill'!$C$12/4*(1/D233+1/E233+1/F233+1/G233))</f>
        <v/>
      </c>
    </row>
    <row r="234">
      <c r="B234" s="30" t="n">
        <v>22.8</v>
      </c>
      <c r="C234" s="12">
        <f>'Dashboard'!$C$9+B234</f>
        <v/>
      </c>
      <c r="D234" s="14">
        <f>(0.24*((C234+0.1*'Cooling Tower &amp; Corrugated Fill'!$C$12))+0.62198*(0.61094*EXP(17.625*(((C234+0.1*'Cooling Tower &amp; Corrugated Fill'!$C$12))-32)/1.8/((((C234+0.1*'Cooling Tower &amp; Corrugated Fill'!$C$12))-32)/1.8+243.04)))/('Cooling Tower &amp; Corrugated Fill'!$C$14-(0.61094*EXP(17.625*(((C234+0.1*'Cooling Tower &amp; Corrugated Fill'!$C$12))-32)/1.8/((((C234+0.1*'Cooling Tower &amp; Corrugated Fill'!$C$12))-32)/1.8+243.04))))*(1061+0.444*((C234+0.1*'Cooling Tower &amp; Corrugated Fill'!$C$12))))-('Merkel Solver'!$C$4+'Cooling Tower &amp; Corrugated Fill'!$C$13*0.1*'Cooling Tower &amp; Corrugated Fill'!$C$12)</f>
        <v/>
      </c>
      <c r="E234" s="14">
        <f>(0.24*((C234+0.4*'Cooling Tower &amp; Corrugated Fill'!$C$12))+0.62198*(0.61094*EXP(17.625*(((C234+0.4*'Cooling Tower &amp; Corrugated Fill'!$C$12))-32)/1.8/((((C234+0.4*'Cooling Tower &amp; Corrugated Fill'!$C$12))-32)/1.8+243.04)))/('Cooling Tower &amp; Corrugated Fill'!$C$14-(0.61094*EXP(17.625*(((C234+0.4*'Cooling Tower &amp; Corrugated Fill'!$C$12))-32)/1.8/((((C234+0.4*'Cooling Tower &amp; Corrugated Fill'!$C$12))-32)/1.8+243.04))))*(1061+0.444*((C234+0.4*'Cooling Tower &amp; Corrugated Fill'!$C$12))))-('Merkel Solver'!$C$4+'Cooling Tower &amp; Corrugated Fill'!$C$13*0.4*'Cooling Tower &amp; Corrugated Fill'!$C$12)</f>
        <v/>
      </c>
      <c r="F234" s="14">
        <f>(0.24*((C234+0.6*'Cooling Tower &amp; Corrugated Fill'!$C$12))+0.62198*(0.61094*EXP(17.625*(((C234+0.6*'Cooling Tower &amp; Corrugated Fill'!$C$12))-32)/1.8/((((C234+0.6*'Cooling Tower &amp; Corrugated Fill'!$C$12))-32)/1.8+243.04)))/('Cooling Tower &amp; Corrugated Fill'!$C$14-(0.61094*EXP(17.625*(((C234+0.6*'Cooling Tower &amp; Corrugated Fill'!$C$12))-32)/1.8/((((C234+0.6*'Cooling Tower &amp; Corrugated Fill'!$C$12))-32)/1.8+243.04))))*(1061+0.444*((C234+0.6*'Cooling Tower &amp; Corrugated Fill'!$C$12))))-('Merkel Solver'!$C$4+'Cooling Tower &amp; Corrugated Fill'!$C$13*0.6*'Cooling Tower &amp; Corrugated Fill'!$C$12)</f>
        <v/>
      </c>
      <c r="G234" s="14">
        <f>(0.24*((C234+0.9*'Cooling Tower &amp; Corrugated Fill'!$C$12))+0.62198*(0.61094*EXP(17.625*(((C234+0.9*'Cooling Tower &amp; Corrugated Fill'!$C$12))-32)/1.8/((((C234+0.9*'Cooling Tower &amp; Corrugated Fill'!$C$12))-32)/1.8+243.04)))/('Cooling Tower &amp; Corrugated Fill'!$C$14-(0.61094*EXP(17.625*(((C234+0.9*'Cooling Tower &amp; Corrugated Fill'!$C$12))-32)/1.8/((((C234+0.9*'Cooling Tower &amp; Corrugated Fill'!$C$12))-32)/1.8+243.04))))*(1061+0.444*((C234+0.9*'Cooling Tower &amp; Corrugated Fill'!$C$12))))-('Merkel Solver'!$C$4+'Cooling Tower &amp; Corrugated Fill'!$C$13*0.9*'Cooling Tower &amp; Corrugated Fill'!$C$12)</f>
        <v/>
      </c>
      <c r="H234" s="22">
        <f>IF(MIN(D234:G234)&lt;=0,99999,'Cooling Tower &amp; Corrugated Fill'!$C$12/4*(1/D234+1/E234+1/F234+1/G234))</f>
        <v/>
      </c>
    </row>
    <row r="235">
      <c r="B235" s="30" t="n">
        <v>22.9</v>
      </c>
      <c r="C235" s="12">
        <f>'Dashboard'!$C$9+B235</f>
        <v/>
      </c>
      <c r="D235" s="14">
        <f>(0.24*((C235+0.1*'Cooling Tower &amp; Corrugated Fill'!$C$12))+0.62198*(0.61094*EXP(17.625*(((C235+0.1*'Cooling Tower &amp; Corrugated Fill'!$C$12))-32)/1.8/((((C235+0.1*'Cooling Tower &amp; Corrugated Fill'!$C$12))-32)/1.8+243.04)))/('Cooling Tower &amp; Corrugated Fill'!$C$14-(0.61094*EXP(17.625*(((C235+0.1*'Cooling Tower &amp; Corrugated Fill'!$C$12))-32)/1.8/((((C235+0.1*'Cooling Tower &amp; Corrugated Fill'!$C$12))-32)/1.8+243.04))))*(1061+0.444*((C235+0.1*'Cooling Tower &amp; Corrugated Fill'!$C$12))))-('Merkel Solver'!$C$4+'Cooling Tower &amp; Corrugated Fill'!$C$13*0.1*'Cooling Tower &amp; Corrugated Fill'!$C$12)</f>
        <v/>
      </c>
      <c r="E235" s="14">
        <f>(0.24*((C235+0.4*'Cooling Tower &amp; Corrugated Fill'!$C$12))+0.62198*(0.61094*EXP(17.625*(((C235+0.4*'Cooling Tower &amp; Corrugated Fill'!$C$12))-32)/1.8/((((C235+0.4*'Cooling Tower &amp; Corrugated Fill'!$C$12))-32)/1.8+243.04)))/('Cooling Tower &amp; Corrugated Fill'!$C$14-(0.61094*EXP(17.625*(((C235+0.4*'Cooling Tower &amp; Corrugated Fill'!$C$12))-32)/1.8/((((C235+0.4*'Cooling Tower &amp; Corrugated Fill'!$C$12))-32)/1.8+243.04))))*(1061+0.444*((C235+0.4*'Cooling Tower &amp; Corrugated Fill'!$C$12))))-('Merkel Solver'!$C$4+'Cooling Tower &amp; Corrugated Fill'!$C$13*0.4*'Cooling Tower &amp; Corrugated Fill'!$C$12)</f>
        <v/>
      </c>
      <c r="F235" s="14">
        <f>(0.24*((C235+0.6*'Cooling Tower &amp; Corrugated Fill'!$C$12))+0.62198*(0.61094*EXP(17.625*(((C235+0.6*'Cooling Tower &amp; Corrugated Fill'!$C$12))-32)/1.8/((((C235+0.6*'Cooling Tower &amp; Corrugated Fill'!$C$12))-32)/1.8+243.04)))/('Cooling Tower &amp; Corrugated Fill'!$C$14-(0.61094*EXP(17.625*(((C235+0.6*'Cooling Tower &amp; Corrugated Fill'!$C$12))-32)/1.8/((((C235+0.6*'Cooling Tower &amp; Corrugated Fill'!$C$12))-32)/1.8+243.04))))*(1061+0.444*((C235+0.6*'Cooling Tower &amp; Corrugated Fill'!$C$12))))-('Merkel Solver'!$C$4+'Cooling Tower &amp; Corrugated Fill'!$C$13*0.6*'Cooling Tower &amp; Corrugated Fill'!$C$12)</f>
        <v/>
      </c>
      <c r="G235" s="14">
        <f>(0.24*((C235+0.9*'Cooling Tower &amp; Corrugated Fill'!$C$12))+0.62198*(0.61094*EXP(17.625*(((C235+0.9*'Cooling Tower &amp; Corrugated Fill'!$C$12))-32)/1.8/((((C235+0.9*'Cooling Tower &amp; Corrugated Fill'!$C$12))-32)/1.8+243.04)))/('Cooling Tower &amp; Corrugated Fill'!$C$14-(0.61094*EXP(17.625*(((C235+0.9*'Cooling Tower &amp; Corrugated Fill'!$C$12))-32)/1.8/((((C235+0.9*'Cooling Tower &amp; Corrugated Fill'!$C$12))-32)/1.8+243.04))))*(1061+0.444*((C235+0.9*'Cooling Tower &amp; Corrugated Fill'!$C$12))))-('Merkel Solver'!$C$4+'Cooling Tower &amp; Corrugated Fill'!$C$13*0.9*'Cooling Tower &amp; Corrugated Fill'!$C$12)</f>
        <v/>
      </c>
      <c r="H235" s="22">
        <f>IF(MIN(D235:G235)&lt;=0,99999,'Cooling Tower &amp; Corrugated Fill'!$C$12/4*(1/D235+1/E235+1/F235+1/G235))</f>
        <v/>
      </c>
    </row>
    <row r="236">
      <c r="B236" s="30" t="n">
        <v>23</v>
      </c>
      <c r="C236" s="12">
        <f>'Dashboard'!$C$9+B236</f>
        <v/>
      </c>
      <c r="D236" s="14">
        <f>(0.24*((C236+0.1*'Cooling Tower &amp; Corrugated Fill'!$C$12))+0.62198*(0.61094*EXP(17.625*(((C236+0.1*'Cooling Tower &amp; Corrugated Fill'!$C$12))-32)/1.8/((((C236+0.1*'Cooling Tower &amp; Corrugated Fill'!$C$12))-32)/1.8+243.04)))/('Cooling Tower &amp; Corrugated Fill'!$C$14-(0.61094*EXP(17.625*(((C236+0.1*'Cooling Tower &amp; Corrugated Fill'!$C$12))-32)/1.8/((((C236+0.1*'Cooling Tower &amp; Corrugated Fill'!$C$12))-32)/1.8+243.04))))*(1061+0.444*((C236+0.1*'Cooling Tower &amp; Corrugated Fill'!$C$12))))-('Merkel Solver'!$C$4+'Cooling Tower &amp; Corrugated Fill'!$C$13*0.1*'Cooling Tower &amp; Corrugated Fill'!$C$12)</f>
        <v/>
      </c>
      <c r="E236" s="14">
        <f>(0.24*((C236+0.4*'Cooling Tower &amp; Corrugated Fill'!$C$12))+0.62198*(0.61094*EXP(17.625*(((C236+0.4*'Cooling Tower &amp; Corrugated Fill'!$C$12))-32)/1.8/((((C236+0.4*'Cooling Tower &amp; Corrugated Fill'!$C$12))-32)/1.8+243.04)))/('Cooling Tower &amp; Corrugated Fill'!$C$14-(0.61094*EXP(17.625*(((C236+0.4*'Cooling Tower &amp; Corrugated Fill'!$C$12))-32)/1.8/((((C236+0.4*'Cooling Tower &amp; Corrugated Fill'!$C$12))-32)/1.8+243.04))))*(1061+0.444*((C236+0.4*'Cooling Tower &amp; Corrugated Fill'!$C$12))))-('Merkel Solver'!$C$4+'Cooling Tower &amp; Corrugated Fill'!$C$13*0.4*'Cooling Tower &amp; Corrugated Fill'!$C$12)</f>
        <v/>
      </c>
      <c r="F236" s="14">
        <f>(0.24*((C236+0.6*'Cooling Tower &amp; Corrugated Fill'!$C$12))+0.62198*(0.61094*EXP(17.625*(((C236+0.6*'Cooling Tower &amp; Corrugated Fill'!$C$12))-32)/1.8/((((C236+0.6*'Cooling Tower &amp; Corrugated Fill'!$C$12))-32)/1.8+243.04)))/('Cooling Tower &amp; Corrugated Fill'!$C$14-(0.61094*EXP(17.625*(((C236+0.6*'Cooling Tower &amp; Corrugated Fill'!$C$12))-32)/1.8/((((C236+0.6*'Cooling Tower &amp; Corrugated Fill'!$C$12))-32)/1.8+243.04))))*(1061+0.444*((C236+0.6*'Cooling Tower &amp; Corrugated Fill'!$C$12))))-('Merkel Solver'!$C$4+'Cooling Tower &amp; Corrugated Fill'!$C$13*0.6*'Cooling Tower &amp; Corrugated Fill'!$C$12)</f>
        <v/>
      </c>
      <c r="G236" s="14">
        <f>(0.24*((C236+0.9*'Cooling Tower &amp; Corrugated Fill'!$C$12))+0.62198*(0.61094*EXP(17.625*(((C236+0.9*'Cooling Tower &amp; Corrugated Fill'!$C$12))-32)/1.8/((((C236+0.9*'Cooling Tower &amp; Corrugated Fill'!$C$12))-32)/1.8+243.04)))/('Cooling Tower &amp; Corrugated Fill'!$C$14-(0.61094*EXP(17.625*(((C236+0.9*'Cooling Tower &amp; Corrugated Fill'!$C$12))-32)/1.8/((((C236+0.9*'Cooling Tower &amp; Corrugated Fill'!$C$12))-32)/1.8+243.04))))*(1061+0.444*((C236+0.9*'Cooling Tower &amp; Corrugated Fill'!$C$12))))-('Merkel Solver'!$C$4+'Cooling Tower &amp; Corrugated Fill'!$C$13*0.9*'Cooling Tower &amp; Corrugated Fill'!$C$12)</f>
        <v/>
      </c>
      <c r="H236" s="22">
        <f>IF(MIN(D236:G236)&lt;=0,99999,'Cooling Tower &amp; Corrugated Fill'!$C$12/4*(1/D236+1/E236+1/F236+1/G236))</f>
        <v/>
      </c>
    </row>
    <row r="237">
      <c r="B237" s="30" t="n">
        <v>23.1</v>
      </c>
      <c r="C237" s="12">
        <f>'Dashboard'!$C$9+B237</f>
        <v/>
      </c>
      <c r="D237" s="14">
        <f>(0.24*((C237+0.1*'Cooling Tower &amp; Corrugated Fill'!$C$12))+0.62198*(0.61094*EXP(17.625*(((C237+0.1*'Cooling Tower &amp; Corrugated Fill'!$C$12))-32)/1.8/((((C237+0.1*'Cooling Tower &amp; Corrugated Fill'!$C$12))-32)/1.8+243.04)))/('Cooling Tower &amp; Corrugated Fill'!$C$14-(0.61094*EXP(17.625*(((C237+0.1*'Cooling Tower &amp; Corrugated Fill'!$C$12))-32)/1.8/((((C237+0.1*'Cooling Tower &amp; Corrugated Fill'!$C$12))-32)/1.8+243.04))))*(1061+0.444*((C237+0.1*'Cooling Tower &amp; Corrugated Fill'!$C$12))))-('Merkel Solver'!$C$4+'Cooling Tower &amp; Corrugated Fill'!$C$13*0.1*'Cooling Tower &amp; Corrugated Fill'!$C$12)</f>
        <v/>
      </c>
      <c r="E237" s="14">
        <f>(0.24*((C237+0.4*'Cooling Tower &amp; Corrugated Fill'!$C$12))+0.62198*(0.61094*EXP(17.625*(((C237+0.4*'Cooling Tower &amp; Corrugated Fill'!$C$12))-32)/1.8/((((C237+0.4*'Cooling Tower &amp; Corrugated Fill'!$C$12))-32)/1.8+243.04)))/('Cooling Tower &amp; Corrugated Fill'!$C$14-(0.61094*EXP(17.625*(((C237+0.4*'Cooling Tower &amp; Corrugated Fill'!$C$12))-32)/1.8/((((C237+0.4*'Cooling Tower &amp; Corrugated Fill'!$C$12))-32)/1.8+243.04))))*(1061+0.444*((C237+0.4*'Cooling Tower &amp; Corrugated Fill'!$C$12))))-('Merkel Solver'!$C$4+'Cooling Tower &amp; Corrugated Fill'!$C$13*0.4*'Cooling Tower &amp; Corrugated Fill'!$C$12)</f>
        <v/>
      </c>
      <c r="F237" s="14">
        <f>(0.24*((C237+0.6*'Cooling Tower &amp; Corrugated Fill'!$C$12))+0.62198*(0.61094*EXP(17.625*(((C237+0.6*'Cooling Tower &amp; Corrugated Fill'!$C$12))-32)/1.8/((((C237+0.6*'Cooling Tower &amp; Corrugated Fill'!$C$12))-32)/1.8+243.04)))/('Cooling Tower &amp; Corrugated Fill'!$C$14-(0.61094*EXP(17.625*(((C237+0.6*'Cooling Tower &amp; Corrugated Fill'!$C$12))-32)/1.8/((((C237+0.6*'Cooling Tower &amp; Corrugated Fill'!$C$12))-32)/1.8+243.04))))*(1061+0.444*((C237+0.6*'Cooling Tower &amp; Corrugated Fill'!$C$12))))-('Merkel Solver'!$C$4+'Cooling Tower &amp; Corrugated Fill'!$C$13*0.6*'Cooling Tower &amp; Corrugated Fill'!$C$12)</f>
        <v/>
      </c>
      <c r="G237" s="14">
        <f>(0.24*((C237+0.9*'Cooling Tower &amp; Corrugated Fill'!$C$12))+0.62198*(0.61094*EXP(17.625*(((C237+0.9*'Cooling Tower &amp; Corrugated Fill'!$C$12))-32)/1.8/((((C237+0.9*'Cooling Tower &amp; Corrugated Fill'!$C$12))-32)/1.8+243.04)))/('Cooling Tower &amp; Corrugated Fill'!$C$14-(0.61094*EXP(17.625*(((C237+0.9*'Cooling Tower &amp; Corrugated Fill'!$C$12))-32)/1.8/((((C237+0.9*'Cooling Tower &amp; Corrugated Fill'!$C$12))-32)/1.8+243.04))))*(1061+0.444*((C237+0.9*'Cooling Tower &amp; Corrugated Fill'!$C$12))))-('Merkel Solver'!$C$4+'Cooling Tower &amp; Corrugated Fill'!$C$13*0.9*'Cooling Tower &amp; Corrugated Fill'!$C$12)</f>
        <v/>
      </c>
      <c r="H237" s="22">
        <f>IF(MIN(D237:G237)&lt;=0,99999,'Cooling Tower &amp; Corrugated Fill'!$C$12/4*(1/D237+1/E237+1/F237+1/G237))</f>
        <v/>
      </c>
    </row>
    <row r="238">
      <c r="B238" s="30" t="n">
        <v>23.2</v>
      </c>
      <c r="C238" s="12">
        <f>'Dashboard'!$C$9+B238</f>
        <v/>
      </c>
      <c r="D238" s="14">
        <f>(0.24*((C238+0.1*'Cooling Tower &amp; Corrugated Fill'!$C$12))+0.62198*(0.61094*EXP(17.625*(((C238+0.1*'Cooling Tower &amp; Corrugated Fill'!$C$12))-32)/1.8/((((C238+0.1*'Cooling Tower &amp; Corrugated Fill'!$C$12))-32)/1.8+243.04)))/('Cooling Tower &amp; Corrugated Fill'!$C$14-(0.61094*EXP(17.625*(((C238+0.1*'Cooling Tower &amp; Corrugated Fill'!$C$12))-32)/1.8/((((C238+0.1*'Cooling Tower &amp; Corrugated Fill'!$C$12))-32)/1.8+243.04))))*(1061+0.444*((C238+0.1*'Cooling Tower &amp; Corrugated Fill'!$C$12))))-('Merkel Solver'!$C$4+'Cooling Tower &amp; Corrugated Fill'!$C$13*0.1*'Cooling Tower &amp; Corrugated Fill'!$C$12)</f>
        <v/>
      </c>
      <c r="E238" s="14">
        <f>(0.24*((C238+0.4*'Cooling Tower &amp; Corrugated Fill'!$C$12))+0.62198*(0.61094*EXP(17.625*(((C238+0.4*'Cooling Tower &amp; Corrugated Fill'!$C$12))-32)/1.8/((((C238+0.4*'Cooling Tower &amp; Corrugated Fill'!$C$12))-32)/1.8+243.04)))/('Cooling Tower &amp; Corrugated Fill'!$C$14-(0.61094*EXP(17.625*(((C238+0.4*'Cooling Tower &amp; Corrugated Fill'!$C$12))-32)/1.8/((((C238+0.4*'Cooling Tower &amp; Corrugated Fill'!$C$12))-32)/1.8+243.04))))*(1061+0.444*((C238+0.4*'Cooling Tower &amp; Corrugated Fill'!$C$12))))-('Merkel Solver'!$C$4+'Cooling Tower &amp; Corrugated Fill'!$C$13*0.4*'Cooling Tower &amp; Corrugated Fill'!$C$12)</f>
        <v/>
      </c>
      <c r="F238" s="14">
        <f>(0.24*((C238+0.6*'Cooling Tower &amp; Corrugated Fill'!$C$12))+0.62198*(0.61094*EXP(17.625*(((C238+0.6*'Cooling Tower &amp; Corrugated Fill'!$C$12))-32)/1.8/((((C238+0.6*'Cooling Tower &amp; Corrugated Fill'!$C$12))-32)/1.8+243.04)))/('Cooling Tower &amp; Corrugated Fill'!$C$14-(0.61094*EXP(17.625*(((C238+0.6*'Cooling Tower &amp; Corrugated Fill'!$C$12))-32)/1.8/((((C238+0.6*'Cooling Tower &amp; Corrugated Fill'!$C$12))-32)/1.8+243.04))))*(1061+0.444*((C238+0.6*'Cooling Tower &amp; Corrugated Fill'!$C$12))))-('Merkel Solver'!$C$4+'Cooling Tower &amp; Corrugated Fill'!$C$13*0.6*'Cooling Tower &amp; Corrugated Fill'!$C$12)</f>
        <v/>
      </c>
      <c r="G238" s="14">
        <f>(0.24*((C238+0.9*'Cooling Tower &amp; Corrugated Fill'!$C$12))+0.62198*(0.61094*EXP(17.625*(((C238+0.9*'Cooling Tower &amp; Corrugated Fill'!$C$12))-32)/1.8/((((C238+0.9*'Cooling Tower &amp; Corrugated Fill'!$C$12))-32)/1.8+243.04)))/('Cooling Tower &amp; Corrugated Fill'!$C$14-(0.61094*EXP(17.625*(((C238+0.9*'Cooling Tower &amp; Corrugated Fill'!$C$12))-32)/1.8/((((C238+0.9*'Cooling Tower &amp; Corrugated Fill'!$C$12))-32)/1.8+243.04))))*(1061+0.444*((C238+0.9*'Cooling Tower &amp; Corrugated Fill'!$C$12))))-('Merkel Solver'!$C$4+'Cooling Tower &amp; Corrugated Fill'!$C$13*0.9*'Cooling Tower &amp; Corrugated Fill'!$C$12)</f>
        <v/>
      </c>
      <c r="H238" s="22">
        <f>IF(MIN(D238:G238)&lt;=0,99999,'Cooling Tower &amp; Corrugated Fill'!$C$12/4*(1/D238+1/E238+1/F238+1/G238))</f>
        <v/>
      </c>
    </row>
    <row r="239">
      <c r="B239" s="30" t="n">
        <v>23.3</v>
      </c>
      <c r="C239" s="12">
        <f>'Dashboard'!$C$9+B239</f>
        <v/>
      </c>
      <c r="D239" s="14">
        <f>(0.24*((C239+0.1*'Cooling Tower &amp; Corrugated Fill'!$C$12))+0.62198*(0.61094*EXP(17.625*(((C239+0.1*'Cooling Tower &amp; Corrugated Fill'!$C$12))-32)/1.8/((((C239+0.1*'Cooling Tower &amp; Corrugated Fill'!$C$12))-32)/1.8+243.04)))/('Cooling Tower &amp; Corrugated Fill'!$C$14-(0.61094*EXP(17.625*(((C239+0.1*'Cooling Tower &amp; Corrugated Fill'!$C$12))-32)/1.8/((((C239+0.1*'Cooling Tower &amp; Corrugated Fill'!$C$12))-32)/1.8+243.04))))*(1061+0.444*((C239+0.1*'Cooling Tower &amp; Corrugated Fill'!$C$12))))-('Merkel Solver'!$C$4+'Cooling Tower &amp; Corrugated Fill'!$C$13*0.1*'Cooling Tower &amp; Corrugated Fill'!$C$12)</f>
        <v/>
      </c>
      <c r="E239" s="14">
        <f>(0.24*((C239+0.4*'Cooling Tower &amp; Corrugated Fill'!$C$12))+0.62198*(0.61094*EXP(17.625*(((C239+0.4*'Cooling Tower &amp; Corrugated Fill'!$C$12))-32)/1.8/((((C239+0.4*'Cooling Tower &amp; Corrugated Fill'!$C$12))-32)/1.8+243.04)))/('Cooling Tower &amp; Corrugated Fill'!$C$14-(0.61094*EXP(17.625*(((C239+0.4*'Cooling Tower &amp; Corrugated Fill'!$C$12))-32)/1.8/((((C239+0.4*'Cooling Tower &amp; Corrugated Fill'!$C$12))-32)/1.8+243.04))))*(1061+0.444*((C239+0.4*'Cooling Tower &amp; Corrugated Fill'!$C$12))))-('Merkel Solver'!$C$4+'Cooling Tower &amp; Corrugated Fill'!$C$13*0.4*'Cooling Tower &amp; Corrugated Fill'!$C$12)</f>
        <v/>
      </c>
      <c r="F239" s="14">
        <f>(0.24*((C239+0.6*'Cooling Tower &amp; Corrugated Fill'!$C$12))+0.62198*(0.61094*EXP(17.625*(((C239+0.6*'Cooling Tower &amp; Corrugated Fill'!$C$12))-32)/1.8/((((C239+0.6*'Cooling Tower &amp; Corrugated Fill'!$C$12))-32)/1.8+243.04)))/('Cooling Tower &amp; Corrugated Fill'!$C$14-(0.61094*EXP(17.625*(((C239+0.6*'Cooling Tower &amp; Corrugated Fill'!$C$12))-32)/1.8/((((C239+0.6*'Cooling Tower &amp; Corrugated Fill'!$C$12))-32)/1.8+243.04))))*(1061+0.444*((C239+0.6*'Cooling Tower &amp; Corrugated Fill'!$C$12))))-('Merkel Solver'!$C$4+'Cooling Tower &amp; Corrugated Fill'!$C$13*0.6*'Cooling Tower &amp; Corrugated Fill'!$C$12)</f>
        <v/>
      </c>
      <c r="G239" s="14">
        <f>(0.24*((C239+0.9*'Cooling Tower &amp; Corrugated Fill'!$C$12))+0.62198*(0.61094*EXP(17.625*(((C239+0.9*'Cooling Tower &amp; Corrugated Fill'!$C$12))-32)/1.8/((((C239+0.9*'Cooling Tower &amp; Corrugated Fill'!$C$12))-32)/1.8+243.04)))/('Cooling Tower &amp; Corrugated Fill'!$C$14-(0.61094*EXP(17.625*(((C239+0.9*'Cooling Tower &amp; Corrugated Fill'!$C$12))-32)/1.8/((((C239+0.9*'Cooling Tower &amp; Corrugated Fill'!$C$12))-32)/1.8+243.04))))*(1061+0.444*((C239+0.9*'Cooling Tower &amp; Corrugated Fill'!$C$12))))-('Merkel Solver'!$C$4+'Cooling Tower &amp; Corrugated Fill'!$C$13*0.9*'Cooling Tower &amp; Corrugated Fill'!$C$12)</f>
        <v/>
      </c>
      <c r="H239" s="22">
        <f>IF(MIN(D239:G239)&lt;=0,99999,'Cooling Tower &amp; Corrugated Fill'!$C$12/4*(1/D239+1/E239+1/F239+1/G239))</f>
        <v/>
      </c>
    </row>
    <row r="240">
      <c r="B240" s="30" t="n">
        <v>23.4</v>
      </c>
      <c r="C240" s="12">
        <f>'Dashboard'!$C$9+B240</f>
        <v/>
      </c>
      <c r="D240" s="14">
        <f>(0.24*((C240+0.1*'Cooling Tower &amp; Corrugated Fill'!$C$12))+0.62198*(0.61094*EXP(17.625*(((C240+0.1*'Cooling Tower &amp; Corrugated Fill'!$C$12))-32)/1.8/((((C240+0.1*'Cooling Tower &amp; Corrugated Fill'!$C$12))-32)/1.8+243.04)))/('Cooling Tower &amp; Corrugated Fill'!$C$14-(0.61094*EXP(17.625*(((C240+0.1*'Cooling Tower &amp; Corrugated Fill'!$C$12))-32)/1.8/((((C240+0.1*'Cooling Tower &amp; Corrugated Fill'!$C$12))-32)/1.8+243.04))))*(1061+0.444*((C240+0.1*'Cooling Tower &amp; Corrugated Fill'!$C$12))))-('Merkel Solver'!$C$4+'Cooling Tower &amp; Corrugated Fill'!$C$13*0.1*'Cooling Tower &amp; Corrugated Fill'!$C$12)</f>
        <v/>
      </c>
      <c r="E240" s="14">
        <f>(0.24*((C240+0.4*'Cooling Tower &amp; Corrugated Fill'!$C$12))+0.62198*(0.61094*EXP(17.625*(((C240+0.4*'Cooling Tower &amp; Corrugated Fill'!$C$12))-32)/1.8/((((C240+0.4*'Cooling Tower &amp; Corrugated Fill'!$C$12))-32)/1.8+243.04)))/('Cooling Tower &amp; Corrugated Fill'!$C$14-(0.61094*EXP(17.625*(((C240+0.4*'Cooling Tower &amp; Corrugated Fill'!$C$12))-32)/1.8/((((C240+0.4*'Cooling Tower &amp; Corrugated Fill'!$C$12))-32)/1.8+243.04))))*(1061+0.444*((C240+0.4*'Cooling Tower &amp; Corrugated Fill'!$C$12))))-('Merkel Solver'!$C$4+'Cooling Tower &amp; Corrugated Fill'!$C$13*0.4*'Cooling Tower &amp; Corrugated Fill'!$C$12)</f>
        <v/>
      </c>
      <c r="F240" s="14">
        <f>(0.24*((C240+0.6*'Cooling Tower &amp; Corrugated Fill'!$C$12))+0.62198*(0.61094*EXP(17.625*(((C240+0.6*'Cooling Tower &amp; Corrugated Fill'!$C$12))-32)/1.8/((((C240+0.6*'Cooling Tower &amp; Corrugated Fill'!$C$12))-32)/1.8+243.04)))/('Cooling Tower &amp; Corrugated Fill'!$C$14-(0.61094*EXP(17.625*(((C240+0.6*'Cooling Tower &amp; Corrugated Fill'!$C$12))-32)/1.8/((((C240+0.6*'Cooling Tower &amp; Corrugated Fill'!$C$12))-32)/1.8+243.04))))*(1061+0.444*((C240+0.6*'Cooling Tower &amp; Corrugated Fill'!$C$12))))-('Merkel Solver'!$C$4+'Cooling Tower &amp; Corrugated Fill'!$C$13*0.6*'Cooling Tower &amp; Corrugated Fill'!$C$12)</f>
        <v/>
      </c>
      <c r="G240" s="14">
        <f>(0.24*((C240+0.9*'Cooling Tower &amp; Corrugated Fill'!$C$12))+0.62198*(0.61094*EXP(17.625*(((C240+0.9*'Cooling Tower &amp; Corrugated Fill'!$C$12))-32)/1.8/((((C240+0.9*'Cooling Tower &amp; Corrugated Fill'!$C$12))-32)/1.8+243.04)))/('Cooling Tower &amp; Corrugated Fill'!$C$14-(0.61094*EXP(17.625*(((C240+0.9*'Cooling Tower &amp; Corrugated Fill'!$C$12))-32)/1.8/((((C240+0.9*'Cooling Tower &amp; Corrugated Fill'!$C$12))-32)/1.8+243.04))))*(1061+0.444*((C240+0.9*'Cooling Tower &amp; Corrugated Fill'!$C$12))))-('Merkel Solver'!$C$4+'Cooling Tower &amp; Corrugated Fill'!$C$13*0.9*'Cooling Tower &amp; Corrugated Fill'!$C$12)</f>
        <v/>
      </c>
      <c r="H240" s="22">
        <f>IF(MIN(D240:G240)&lt;=0,99999,'Cooling Tower &amp; Corrugated Fill'!$C$12/4*(1/D240+1/E240+1/F240+1/G240))</f>
        <v/>
      </c>
    </row>
    <row r="241">
      <c r="B241" s="30" t="n">
        <v>23.5</v>
      </c>
      <c r="C241" s="12">
        <f>'Dashboard'!$C$9+B241</f>
        <v/>
      </c>
      <c r="D241" s="14">
        <f>(0.24*((C241+0.1*'Cooling Tower &amp; Corrugated Fill'!$C$12))+0.62198*(0.61094*EXP(17.625*(((C241+0.1*'Cooling Tower &amp; Corrugated Fill'!$C$12))-32)/1.8/((((C241+0.1*'Cooling Tower &amp; Corrugated Fill'!$C$12))-32)/1.8+243.04)))/('Cooling Tower &amp; Corrugated Fill'!$C$14-(0.61094*EXP(17.625*(((C241+0.1*'Cooling Tower &amp; Corrugated Fill'!$C$12))-32)/1.8/((((C241+0.1*'Cooling Tower &amp; Corrugated Fill'!$C$12))-32)/1.8+243.04))))*(1061+0.444*((C241+0.1*'Cooling Tower &amp; Corrugated Fill'!$C$12))))-('Merkel Solver'!$C$4+'Cooling Tower &amp; Corrugated Fill'!$C$13*0.1*'Cooling Tower &amp; Corrugated Fill'!$C$12)</f>
        <v/>
      </c>
      <c r="E241" s="14">
        <f>(0.24*((C241+0.4*'Cooling Tower &amp; Corrugated Fill'!$C$12))+0.62198*(0.61094*EXP(17.625*(((C241+0.4*'Cooling Tower &amp; Corrugated Fill'!$C$12))-32)/1.8/((((C241+0.4*'Cooling Tower &amp; Corrugated Fill'!$C$12))-32)/1.8+243.04)))/('Cooling Tower &amp; Corrugated Fill'!$C$14-(0.61094*EXP(17.625*(((C241+0.4*'Cooling Tower &amp; Corrugated Fill'!$C$12))-32)/1.8/((((C241+0.4*'Cooling Tower &amp; Corrugated Fill'!$C$12))-32)/1.8+243.04))))*(1061+0.444*((C241+0.4*'Cooling Tower &amp; Corrugated Fill'!$C$12))))-('Merkel Solver'!$C$4+'Cooling Tower &amp; Corrugated Fill'!$C$13*0.4*'Cooling Tower &amp; Corrugated Fill'!$C$12)</f>
        <v/>
      </c>
      <c r="F241" s="14">
        <f>(0.24*((C241+0.6*'Cooling Tower &amp; Corrugated Fill'!$C$12))+0.62198*(0.61094*EXP(17.625*(((C241+0.6*'Cooling Tower &amp; Corrugated Fill'!$C$12))-32)/1.8/((((C241+0.6*'Cooling Tower &amp; Corrugated Fill'!$C$12))-32)/1.8+243.04)))/('Cooling Tower &amp; Corrugated Fill'!$C$14-(0.61094*EXP(17.625*(((C241+0.6*'Cooling Tower &amp; Corrugated Fill'!$C$12))-32)/1.8/((((C241+0.6*'Cooling Tower &amp; Corrugated Fill'!$C$12))-32)/1.8+243.04))))*(1061+0.444*((C241+0.6*'Cooling Tower &amp; Corrugated Fill'!$C$12))))-('Merkel Solver'!$C$4+'Cooling Tower &amp; Corrugated Fill'!$C$13*0.6*'Cooling Tower &amp; Corrugated Fill'!$C$12)</f>
        <v/>
      </c>
      <c r="G241" s="14">
        <f>(0.24*((C241+0.9*'Cooling Tower &amp; Corrugated Fill'!$C$12))+0.62198*(0.61094*EXP(17.625*(((C241+0.9*'Cooling Tower &amp; Corrugated Fill'!$C$12))-32)/1.8/((((C241+0.9*'Cooling Tower &amp; Corrugated Fill'!$C$12))-32)/1.8+243.04)))/('Cooling Tower &amp; Corrugated Fill'!$C$14-(0.61094*EXP(17.625*(((C241+0.9*'Cooling Tower &amp; Corrugated Fill'!$C$12))-32)/1.8/((((C241+0.9*'Cooling Tower &amp; Corrugated Fill'!$C$12))-32)/1.8+243.04))))*(1061+0.444*((C241+0.9*'Cooling Tower &amp; Corrugated Fill'!$C$12))))-('Merkel Solver'!$C$4+'Cooling Tower &amp; Corrugated Fill'!$C$13*0.9*'Cooling Tower &amp; Corrugated Fill'!$C$12)</f>
        <v/>
      </c>
      <c r="H241" s="22">
        <f>IF(MIN(D241:G241)&lt;=0,99999,'Cooling Tower &amp; Corrugated Fill'!$C$12/4*(1/D241+1/E241+1/F241+1/G241))</f>
        <v/>
      </c>
    </row>
    <row r="242">
      <c r="B242" s="30" t="n">
        <v>23.6</v>
      </c>
      <c r="C242" s="12">
        <f>'Dashboard'!$C$9+B242</f>
        <v/>
      </c>
      <c r="D242" s="14">
        <f>(0.24*((C242+0.1*'Cooling Tower &amp; Corrugated Fill'!$C$12))+0.62198*(0.61094*EXP(17.625*(((C242+0.1*'Cooling Tower &amp; Corrugated Fill'!$C$12))-32)/1.8/((((C242+0.1*'Cooling Tower &amp; Corrugated Fill'!$C$12))-32)/1.8+243.04)))/('Cooling Tower &amp; Corrugated Fill'!$C$14-(0.61094*EXP(17.625*(((C242+0.1*'Cooling Tower &amp; Corrugated Fill'!$C$12))-32)/1.8/((((C242+0.1*'Cooling Tower &amp; Corrugated Fill'!$C$12))-32)/1.8+243.04))))*(1061+0.444*((C242+0.1*'Cooling Tower &amp; Corrugated Fill'!$C$12))))-('Merkel Solver'!$C$4+'Cooling Tower &amp; Corrugated Fill'!$C$13*0.1*'Cooling Tower &amp; Corrugated Fill'!$C$12)</f>
        <v/>
      </c>
      <c r="E242" s="14">
        <f>(0.24*((C242+0.4*'Cooling Tower &amp; Corrugated Fill'!$C$12))+0.62198*(0.61094*EXP(17.625*(((C242+0.4*'Cooling Tower &amp; Corrugated Fill'!$C$12))-32)/1.8/((((C242+0.4*'Cooling Tower &amp; Corrugated Fill'!$C$12))-32)/1.8+243.04)))/('Cooling Tower &amp; Corrugated Fill'!$C$14-(0.61094*EXP(17.625*(((C242+0.4*'Cooling Tower &amp; Corrugated Fill'!$C$12))-32)/1.8/((((C242+0.4*'Cooling Tower &amp; Corrugated Fill'!$C$12))-32)/1.8+243.04))))*(1061+0.444*((C242+0.4*'Cooling Tower &amp; Corrugated Fill'!$C$12))))-('Merkel Solver'!$C$4+'Cooling Tower &amp; Corrugated Fill'!$C$13*0.4*'Cooling Tower &amp; Corrugated Fill'!$C$12)</f>
        <v/>
      </c>
      <c r="F242" s="14">
        <f>(0.24*((C242+0.6*'Cooling Tower &amp; Corrugated Fill'!$C$12))+0.62198*(0.61094*EXP(17.625*(((C242+0.6*'Cooling Tower &amp; Corrugated Fill'!$C$12))-32)/1.8/((((C242+0.6*'Cooling Tower &amp; Corrugated Fill'!$C$12))-32)/1.8+243.04)))/('Cooling Tower &amp; Corrugated Fill'!$C$14-(0.61094*EXP(17.625*(((C242+0.6*'Cooling Tower &amp; Corrugated Fill'!$C$12))-32)/1.8/((((C242+0.6*'Cooling Tower &amp; Corrugated Fill'!$C$12))-32)/1.8+243.04))))*(1061+0.444*((C242+0.6*'Cooling Tower &amp; Corrugated Fill'!$C$12))))-('Merkel Solver'!$C$4+'Cooling Tower &amp; Corrugated Fill'!$C$13*0.6*'Cooling Tower &amp; Corrugated Fill'!$C$12)</f>
        <v/>
      </c>
      <c r="G242" s="14">
        <f>(0.24*((C242+0.9*'Cooling Tower &amp; Corrugated Fill'!$C$12))+0.62198*(0.61094*EXP(17.625*(((C242+0.9*'Cooling Tower &amp; Corrugated Fill'!$C$12))-32)/1.8/((((C242+0.9*'Cooling Tower &amp; Corrugated Fill'!$C$12))-32)/1.8+243.04)))/('Cooling Tower &amp; Corrugated Fill'!$C$14-(0.61094*EXP(17.625*(((C242+0.9*'Cooling Tower &amp; Corrugated Fill'!$C$12))-32)/1.8/((((C242+0.9*'Cooling Tower &amp; Corrugated Fill'!$C$12))-32)/1.8+243.04))))*(1061+0.444*((C242+0.9*'Cooling Tower &amp; Corrugated Fill'!$C$12))))-('Merkel Solver'!$C$4+'Cooling Tower &amp; Corrugated Fill'!$C$13*0.9*'Cooling Tower &amp; Corrugated Fill'!$C$12)</f>
        <v/>
      </c>
      <c r="H242" s="22">
        <f>IF(MIN(D242:G242)&lt;=0,99999,'Cooling Tower &amp; Corrugated Fill'!$C$12/4*(1/D242+1/E242+1/F242+1/G242))</f>
        <v/>
      </c>
    </row>
    <row r="243">
      <c r="B243" s="30" t="n">
        <v>23.7</v>
      </c>
      <c r="C243" s="12">
        <f>'Dashboard'!$C$9+B243</f>
        <v/>
      </c>
      <c r="D243" s="14">
        <f>(0.24*((C243+0.1*'Cooling Tower &amp; Corrugated Fill'!$C$12))+0.62198*(0.61094*EXP(17.625*(((C243+0.1*'Cooling Tower &amp; Corrugated Fill'!$C$12))-32)/1.8/((((C243+0.1*'Cooling Tower &amp; Corrugated Fill'!$C$12))-32)/1.8+243.04)))/('Cooling Tower &amp; Corrugated Fill'!$C$14-(0.61094*EXP(17.625*(((C243+0.1*'Cooling Tower &amp; Corrugated Fill'!$C$12))-32)/1.8/((((C243+0.1*'Cooling Tower &amp; Corrugated Fill'!$C$12))-32)/1.8+243.04))))*(1061+0.444*((C243+0.1*'Cooling Tower &amp; Corrugated Fill'!$C$12))))-('Merkel Solver'!$C$4+'Cooling Tower &amp; Corrugated Fill'!$C$13*0.1*'Cooling Tower &amp; Corrugated Fill'!$C$12)</f>
        <v/>
      </c>
      <c r="E243" s="14">
        <f>(0.24*((C243+0.4*'Cooling Tower &amp; Corrugated Fill'!$C$12))+0.62198*(0.61094*EXP(17.625*(((C243+0.4*'Cooling Tower &amp; Corrugated Fill'!$C$12))-32)/1.8/((((C243+0.4*'Cooling Tower &amp; Corrugated Fill'!$C$12))-32)/1.8+243.04)))/('Cooling Tower &amp; Corrugated Fill'!$C$14-(0.61094*EXP(17.625*(((C243+0.4*'Cooling Tower &amp; Corrugated Fill'!$C$12))-32)/1.8/((((C243+0.4*'Cooling Tower &amp; Corrugated Fill'!$C$12))-32)/1.8+243.04))))*(1061+0.444*((C243+0.4*'Cooling Tower &amp; Corrugated Fill'!$C$12))))-('Merkel Solver'!$C$4+'Cooling Tower &amp; Corrugated Fill'!$C$13*0.4*'Cooling Tower &amp; Corrugated Fill'!$C$12)</f>
        <v/>
      </c>
      <c r="F243" s="14">
        <f>(0.24*((C243+0.6*'Cooling Tower &amp; Corrugated Fill'!$C$12))+0.62198*(0.61094*EXP(17.625*(((C243+0.6*'Cooling Tower &amp; Corrugated Fill'!$C$12))-32)/1.8/((((C243+0.6*'Cooling Tower &amp; Corrugated Fill'!$C$12))-32)/1.8+243.04)))/('Cooling Tower &amp; Corrugated Fill'!$C$14-(0.61094*EXP(17.625*(((C243+0.6*'Cooling Tower &amp; Corrugated Fill'!$C$12))-32)/1.8/((((C243+0.6*'Cooling Tower &amp; Corrugated Fill'!$C$12))-32)/1.8+243.04))))*(1061+0.444*((C243+0.6*'Cooling Tower &amp; Corrugated Fill'!$C$12))))-('Merkel Solver'!$C$4+'Cooling Tower &amp; Corrugated Fill'!$C$13*0.6*'Cooling Tower &amp; Corrugated Fill'!$C$12)</f>
        <v/>
      </c>
      <c r="G243" s="14">
        <f>(0.24*((C243+0.9*'Cooling Tower &amp; Corrugated Fill'!$C$12))+0.62198*(0.61094*EXP(17.625*(((C243+0.9*'Cooling Tower &amp; Corrugated Fill'!$C$12))-32)/1.8/((((C243+0.9*'Cooling Tower &amp; Corrugated Fill'!$C$12))-32)/1.8+243.04)))/('Cooling Tower &amp; Corrugated Fill'!$C$14-(0.61094*EXP(17.625*(((C243+0.9*'Cooling Tower &amp; Corrugated Fill'!$C$12))-32)/1.8/((((C243+0.9*'Cooling Tower &amp; Corrugated Fill'!$C$12))-32)/1.8+243.04))))*(1061+0.444*((C243+0.9*'Cooling Tower &amp; Corrugated Fill'!$C$12))))-('Merkel Solver'!$C$4+'Cooling Tower &amp; Corrugated Fill'!$C$13*0.9*'Cooling Tower &amp; Corrugated Fill'!$C$12)</f>
        <v/>
      </c>
      <c r="H243" s="22">
        <f>IF(MIN(D243:G243)&lt;=0,99999,'Cooling Tower &amp; Corrugated Fill'!$C$12/4*(1/D243+1/E243+1/F243+1/G243))</f>
        <v/>
      </c>
    </row>
    <row r="244">
      <c r="B244" s="30" t="n">
        <v>23.8</v>
      </c>
      <c r="C244" s="12">
        <f>'Dashboard'!$C$9+B244</f>
        <v/>
      </c>
      <c r="D244" s="14">
        <f>(0.24*((C244+0.1*'Cooling Tower &amp; Corrugated Fill'!$C$12))+0.62198*(0.61094*EXP(17.625*(((C244+0.1*'Cooling Tower &amp; Corrugated Fill'!$C$12))-32)/1.8/((((C244+0.1*'Cooling Tower &amp; Corrugated Fill'!$C$12))-32)/1.8+243.04)))/('Cooling Tower &amp; Corrugated Fill'!$C$14-(0.61094*EXP(17.625*(((C244+0.1*'Cooling Tower &amp; Corrugated Fill'!$C$12))-32)/1.8/((((C244+0.1*'Cooling Tower &amp; Corrugated Fill'!$C$12))-32)/1.8+243.04))))*(1061+0.444*((C244+0.1*'Cooling Tower &amp; Corrugated Fill'!$C$12))))-('Merkel Solver'!$C$4+'Cooling Tower &amp; Corrugated Fill'!$C$13*0.1*'Cooling Tower &amp; Corrugated Fill'!$C$12)</f>
        <v/>
      </c>
      <c r="E244" s="14">
        <f>(0.24*((C244+0.4*'Cooling Tower &amp; Corrugated Fill'!$C$12))+0.62198*(0.61094*EXP(17.625*(((C244+0.4*'Cooling Tower &amp; Corrugated Fill'!$C$12))-32)/1.8/((((C244+0.4*'Cooling Tower &amp; Corrugated Fill'!$C$12))-32)/1.8+243.04)))/('Cooling Tower &amp; Corrugated Fill'!$C$14-(0.61094*EXP(17.625*(((C244+0.4*'Cooling Tower &amp; Corrugated Fill'!$C$12))-32)/1.8/((((C244+0.4*'Cooling Tower &amp; Corrugated Fill'!$C$12))-32)/1.8+243.04))))*(1061+0.444*((C244+0.4*'Cooling Tower &amp; Corrugated Fill'!$C$12))))-('Merkel Solver'!$C$4+'Cooling Tower &amp; Corrugated Fill'!$C$13*0.4*'Cooling Tower &amp; Corrugated Fill'!$C$12)</f>
        <v/>
      </c>
      <c r="F244" s="14">
        <f>(0.24*((C244+0.6*'Cooling Tower &amp; Corrugated Fill'!$C$12))+0.62198*(0.61094*EXP(17.625*(((C244+0.6*'Cooling Tower &amp; Corrugated Fill'!$C$12))-32)/1.8/((((C244+0.6*'Cooling Tower &amp; Corrugated Fill'!$C$12))-32)/1.8+243.04)))/('Cooling Tower &amp; Corrugated Fill'!$C$14-(0.61094*EXP(17.625*(((C244+0.6*'Cooling Tower &amp; Corrugated Fill'!$C$12))-32)/1.8/((((C244+0.6*'Cooling Tower &amp; Corrugated Fill'!$C$12))-32)/1.8+243.04))))*(1061+0.444*((C244+0.6*'Cooling Tower &amp; Corrugated Fill'!$C$12))))-('Merkel Solver'!$C$4+'Cooling Tower &amp; Corrugated Fill'!$C$13*0.6*'Cooling Tower &amp; Corrugated Fill'!$C$12)</f>
        <v/>
      </c>
      <c r="G244" s="14">
        <f>(0.24*((C244+0.9*'Cooling Tower &amp; Corrugated Fill'!$C$12))+0.62198*(0.61094*EXP(17.625*(((C244+0.9*'Cooling Tower &amp; Corrugated Fill'!$C$12))-32)/1.8/((((C244+0.9*'Cooling Tower &amp; Corrugated Fill'!$C$12))-32)/1.8+243.04)))/('Cooling Tower &amp; Corrugated Fill'!$C$14-(0.61094*EXP(17.625*(((C244+0.9*'Cooling Tower &amp; Corrugated Fill'!$C$12))-32)/1.8/((((C244+0.9*'Cooling Tower &amp; Corrugated Fill'!$C$12))-32)/1.8+243.04))))*(1061+0.444*((C244+0.9*'Cooling Tower &amp; Corrugated Fill'!$C$12))))-('Merkel Solver'!$C$4+'Cooling Tower &amp; Corrugated Fill'!$C$13*0.9*'Cooling Tower &amp; Corrugated Fill'!$C$12)</f>
        <v/>
      </c>
      <c r="H244" s="22">
        <f>IF(MIN(D244:G244)&lt;=0,99999,'Cooling Tower &amp; Corrugated Fill'!$C$12/4*(1/D244+1/E244+1/F244+1/G244))</f>
        <v/>
      </c>
    </row>
    <row r="245">
      <c r="B245" s="30" t="n">
        <v>23.9</v>
      </c>
      <c r="C245" s="12">
        <f>'Dashboard'!$C$9+B245</f>
        <v/>
      </c>
      <c r="D245" s="14">
        <f>(0.24*((C245+0.1*'Cooling Tower &amp; Corrugated Fill'!$C$12))+0.62198*(0.61094*EXP(17.625*(((C245+0.1*'Cooling Tower &amp; Corrugated Fill'!$C$12))-32)/1.8/((((C245+0.1*'Cooling Tower &amp; Corrugated Fill'!$C$12))-32)/1.8+243.04)))/('Cooling Tower &amp; Corrugated Fill'!$C$14-(0.61094*EXP(17.625*(((C245+0.1*'Cooling Tower &amp; Corrugated Fill'!$C$12))-32)/1.8/((((C245+0.1*'Cooling Tower &amp; Corrugated Fill'!$C$12))-32)/1.8+243.04))))*(1061+0.444*((C245+0.1*'Cooling Tower &amp; Corrugated Fill'!$C$12))))-('Merkel Solver'!$C$4+'Cooling Tower &amp; Corrugated Fill'!$C$13*0.1*'Cooling Tower &amp; Corrugated Fill'!$C$12)</f>
        <v/>
      </c>
      <c r="E245" s="14">
        <f>(0.24*((C245+0.4*'Cooling Tower &amp; Corrugated Fill'!$C$12))+0.62198*(0.61094*EXP(17.625*(((C245+0.4*'Cooling Tower &amp; Corrugated Fill'!$C$12))-32)/1.8/((((C245+0.4*'Cooling Tower &amp; Corrugated Fill'!$C$12))-32)/1.8+243.04)))/('Cooling Tower &amp; Corrugated Fill'!$C$14-(0.61094*EXP(17.625*(((C245+0.4*'Cooling Tower &amp; Corrugated Fill'!$C$12))-32)/1.8/((((C245+0.4*'Cooling Tower &amp; Corrugated Fill'!$C$12))-32)/1.8+243.04))))*(1061+0.444*((C245+0.4*'Cooling Tower &amp; Corrugated Fill'!$C$12))))-('Merkel Solver'!$C$4+'Cooling Tower &amp; Corrugated Fill'!$C$13*0.4*'Cooling Tower &amp; Corrugated Fill'!$C$12)</f>
        <v/>
      </c>
      <c r="F245" s="14">
        <f>(0.24*((C245+0.6*'Cooling Tower &amp; Corrugated Fill'!$C$12))+0.62198*(0.61094*EXP(17.625*(((C245+0.6*'Cooling Tower &amp; Corrugated Fill'!$C$12))-32)/1.8/((((C245+0.6*'Cooling Tower &amp; Corrugated Fill'!$C$12))-32)/1.8+243.04)))/('Cooling Tower &amp; Corrugated Fill'!$C$14-(0.61094*EXP(17.625*(((C245+0.6*'Cooling Tower &amp; Corrugated Fill'!$C$12))-32)/1.8/((((C245+0.6*'Cooling Tower &amp; Corrugated Fill'!$C$12))-32)/1.8+243.04))))*(1061+0.444*((C245+0.6*'Cooling Tower &amp; Corrugated Fill'!$C$12))))-('Merkel Solver'!$C$4+'Cooling Tower &amp; Corrugated Fill'!$C$13*0.6*'Cooling Tower &amp; Corrugated Fill'!$C$12)</f>
        <v/>
      </c>
      <c r="G245" s="14">
        <f>(0.24*((C245+0.9*'Cooling Tower &amp; Corrugated Fill'!$C$12))+0.62198*(0.61094*EXP(17.625*(((C245+0.9*'Cooling Tower &amp; Corrugated Fill'!$C$12))-32)/1.8/((((C245+0.9*'Cooling Tower &amp; Corrugated Fill'!$C$12))-32)/1.8+243.04)))/('Cooling Tower &amp; Corrugated Fill'!$C$14-(0.61094*EXP(17.625*(((C245+0.9*'Cooling Tower &amp; Corrugated Fill'!$C$12))-32)/1.8/((((C245+0.9*'Cooling Tower &amp; Corrugated Fill'!$C$12))-32)/1.8+243.04))))*(1061+0.444*((C245+0.9*'Cooling Tower &amp; Corrugated Fill'!$C$12))))-('Merkel Solver'!$C$4+'Cooling Tower &amp; Corrugated Fill'!$C$13*0.9*'Cooling Tower &amp; Corrugated Fill'!$C$12)</f>
        <v/>
      </c>
      <c r="H245" s="22">
        <f>IF(MIN(D245:G245)&lt;=0,99999,'Cooling Tower &amp; Corrugated Fill'!$C$12/4*(1/D245+1/E245+1/F245+1/G245))</f>
        <v/>
      </c>
    </row>
    <row r="246">
      <c r="B246" s="30" t="n">
        <v>24</v>
      </c>
      <c r="C246" s="12">
        <f>'Dashboard'!$C$9+B246</f>
        <v/>
      </c>
      <c r="D246" s="14">
        <f>(0.24*((C246+0.1*'Cooling Tower &amp; Corrugated Fill'!$C$12))+0.62198*(0.61094*EXP(17.625*(((C246+0.1*'Cooling Tower &amp; Corrugated Fill'!$C$12))-32)/1.8/((((C246+0.1*'Cooling Tower &amp; Corrugated Fill'!$C$12))-32)/1.8+243.04)))/('Cooling Tower &amp; Corrugated Fill'!$C$14-(0.61094*EXP(17.625*(((C246+0.1*'Cooling Tower &amp; Corrugated Fill'!$C$12))-32)/1.8/((((C246+0.1*'Cooling Tower &amp; Corrugated Fill'!$C$12))-32)/1.8+243.04))))*(1061+0.444*((C246+0.1*'Cooling Tower &amp; Corrugated Fill'!$C$12))))-('Merkel Solver'!$C$4+'Cooling Tower &amp; Corrugated Fill'!$C$13*0.1*'Cooling Tower &amp; Corrugated Fill'!$C$12)</f>
        <v/>
      </c>
      <c r="E246" s="14">
        <f>(0.24*((C246+0.4*'Cooling Tower &amp; Corrugated Fill'!$C$12))+0.62198*(0.61094*EXP(17.625*(((C246+0.4*'Cooling Tower &amp; Corrugated Fill'!$C$12))-32)/1.8/((((C246+0.4*'Cooling Tower &amp; Corrugated Fill'!$C$12))-32)/1.8+243.04)))/('Cooling Tower &amp; Corrugated Fill'!$C$14-(0.61094*EXP(17.625*(((C246+0.4*'Cooling Tower &amp; Corrugated Fill'!$C$12))-32)/1.8/((((C246+0.4*'Cooling Tower &amp; Corrugated Fill'!$C$12))-32)/1.8+243.04))))*(1061+0.444*((C246+0.4*'Cooling Tower &amp; Corrugated Fill'!$C$12))))-('Merkel Solver'!$C$4+'Cooling Tower &amp; Corrugated Fill'!$C$13*0.4*'Cooling Tower &amp; Corrugated Fill'!$C$12)</f>
        <v/>
      </c>
      <c r="F246" s="14">
        <f>(0.24*((C246+0.6*'Cooling Tower &amp; Corrugated Fill'!$C$12))+0.62198*(0.61094*EXP(17.625*(((C246+0.6*'Cooling Tower &amp; Corrugated Fill'!$C$12))-32)/1.8/((((C246+0.6*'Cooling Tower &amp; Corrugated Fill'!$C$12))-32)/1.8+243.04)))/('Cooling Tower &amp; Corrugated Fill'!$C$14-(0.61094*EXP(17.625*(((C246+0.6*'Cooling Tower &amp; Corrugated Fill'!$C$12))-32)/1.8/((((C246+0.6*'Cooling Tower &amp; Corrugated Fill'!$C$12))-32)/1.8+243.04))))*(1061+0.444*((C246+0.6*'Cooling Tower &amp; Corrugated Fill'!$C$12))))-('Merkel Solver'!$C$4+'Cooling Tower &amp; Corrugated Fill'!$C$13*0.6*'Cooling Tower &amp; Corrugated Fill'!$C$12)</f>
        <v/>
      </c>
      <c r="G246" s="14">
        <f>(0.24*((C246+0.9*'Cooling Tower &amp; Corrugated Fill'!$C$12))+0.62198*(0.61094*EXP(17.625*(((C246+0.9*'Cooling Tower &amp; Corrugated Fill'!$C$12))-32)/1.8/((((C246+0.9*'Cooling Tower &amp; Corrugated Fill'!$C$12))-32)/1.8+243.04)))/('Cooling Tower &amp; Corrugated Fill'!$C$14-(0.61094*EXP(17.625*(((C246+0.9*'Cooling Tower &amp; Corrugated Fill'!$C$12))-32)/1.8/((((C246+0.9*'Cooling Tower &amp; Corrugated Fill'!$C$12))-32)/1.8+243.04))))*(1061+0.444*((C246+0.9*'Cooling Tower &amp; Corrugated Fill'!$C$12))))-('Merkel Solver'!$C$4+'Cooling Tower &amp; Corrugated Fill'!$C$13*0.9*'Cooling Tower &amp; Corrugated Fill'!$C$12)</f>
        <v/>
      </c>
      <c r="H246" s="22">
        <f>IF(MIN(D246:G246)&lt;=0,99999,'Cooling Tower &amp; Corrugated Fill'!$C$12/4*(1/D246+1/E246+1/F246+1/G246))</f>
        <v/>
      </c>
    </row>
    <row r="247">
      <c r="B247" s="30" t="n">
        <v>24.1</v>
      </c>
      <c r="C247" s="12">
        <f>'Dashboard'!$C$9+B247</f>
        <v/>
      </c>
      <c r="D247" s="14">
        <f>(0.24*((C247+0.1*'Cooling Tower &amp; Corrugated Fill'!$C$12))+0.62198*(0.61094*EXP(17.625*(((C247+0.1*'Cooling Tower &amp; Corrugated Fill'!$C$12))-32)/1.8/((((C247+0.1*'Cooling Tower &amp; Corrugated Fill'!$C$12))-32)/1.8+243.04)))/('Cooling Tower &amp; Corrugated Fill'!$C$14-(0.61094*EXP(17.625*(((C247+0.1*'Cooling Tower &amp; Corrugated Fill'!$C$12))-32)/1.8/((((C247+0.1*'Cooling Tower &amp; Corrugated Fill'!$C$12))-32)/1.8+243.04))))*(1061+0.444*((C247+0.1*'Cooling Tower &amp; Corrugated Fill'!$C$12))))-('Merkel Solver'!$C$4+'Cooling Tower &amp; Corrugated Fill'!$C$13*0.1*'Cooling Tower &amp; Corrugated Fill'!$C$12)</f>
        <v/>
      </c>
      <c r="E247" s="14">
        <f>(0.24*((C247+0.4*'Cooling Tower &amp; Corrugated Fill'!$C$12))+0.62198*(0.61094*EXP(17.625*(((C247+0.4*'Cooling Tower &amp; Corrugated Fill'!$C$12))-32)/1.8/((((C247+0.4*'Cooling Tower &amp; Corrugated Fill'!$C$12))-32)/1.8+243.04)))/('Cooling Tower &amp; Corrugated Fill'!$C$14-(0.61094*EXP(17.625*(((C247+0.4*'Cooling Tower &amp; Corrugated Fill'!$C$12))-32)/1.8/((((C247+0.4*'Cooling Tower &amp; Corrugated Fill'!$C$12))-32)/1.8+243.04))))*(1061+0.444*((C247+0.4*'Cooling Tower &amp; Corrugated Fill'!$C$12))))-('Merkel Solver'!$C$4+'Cooling Tower &amp; Corrugated Fill'!$C$13*0.4*'Cooling Tower &amp; Corrugated Fill'!$C$12)</f>
        <v/>
      </c>
      <c r="F247" s="14">
        <f>(0.24*((C247+0.6*'Cooling Tower &amp; Corrugated Fill'!$C$12))+0.62198*(0.61094*EXP(17.625*(((C247+0.6*'Cooling Tower &amp; Corrugated Fill'!$C$12))-32)/1.8/((((C247+0.6*'Cooling Tower &amp; Corrugated Fill'!$C$12))-32)/1.8+243.04)))/('Cooling Tower &amp; Corrugated Fill'!$C$14-(0.61094*EXP(17.625*(((C247+0.6*'Cooling Tower &amp; Corrugated Fill'!$C$12))-32)/1.8/((((C247+0.6*'Cooling Tower &amp; Corrugated Fill'!$C$12))-32)/1.8+243.04))))*(1061+0.444*((C247+0.6*'Cooling Tower &amp; Corrugated Fill'!$C$12))))-('Merkel Solver'!$C$4+'Cooling Tower &amp; Corrugated Fill'!$C$13*0.6*'Cooling Tower &amp; Corrugated Fill'!$C$12)</f>
        <v/>
      </c>
      <c r="G247" s="14">
        <f>(0.24*((C247+0.9*'Cooling Tower &amp; Corrugated Fill'!$C$12))+0.62198*(0.61094*EXP(17.625*(((C247+0.9*'Cooling Tower &amp; Corrugated Fill'!$C$12))-32)/1.8/((((C247+0.9*'Cooling Tower &amp; Corrugated Fill'!$C$12))-32)/1.8+243.04)))/('Cooling Tower &amp; Corrugated Fill'!$C$14-(0.61094*EXP(17.625*(((C247+0.9*'Cooling Tower &amp; Corrugated Fill'!$C$12))-32)/1.8/((((C247+0.9*'Cooling Tower &amp; Corrugated Fill'!$C$12))-32)/1.8+243.04))))*(1061+0.444*((C247+0.9*'Cooling Tower &amp; Corrugated Fill'!$C$12))))-('Merkel Solver'!$C$4+'Cooling Tower &amp; Corrugated Fill'!$C$13*0.9*'Cooling Tower &amp; Corrugated Fill'!$C$12)</f>
        <v/>
      </c>
      <c r="H247" s="22">
        <f>IF(MIN(D247:G247)&lt;=0,99999,'Cooling Tower &amp; Corrugated Fill'!$C$12/4*(1/D247+1/E247+1/F247+1/G247))</f>
        <v/>
      </c>
    </row>
    <row r="248">
      <c r="B248" s="30" t="n">
        <v>24.2</v>
      </c>
      <c r="C248" s="12">
        <f>'Dashboard'!$C$9+B248</f>
        <v/>
      </c>
      <c r="D248" s="14">
        <f>(0.24*((C248+0.1*'Cooling Tower &amp; Corrugated Fill'!$C$12))+0.62198*(0.61094*EXP(17.625*(((C248+0.1*'Cooling Tower &amp; Corrugated Fill'!$C$12))-32)/1.8/((((C248+0.1*'Cooling Tower &amp; Corrugated Fill'!$C$12))-32)/1.8+243.04)))/('Cooling Tower &amp; Corrugated Fill'!$C$14-(0.61094*EXP(17.625*(((C248+0.1*'Cooling Tower &amp; Corrugated Fill'!$C$12))-32)/1.8/((((C248+0.1*'Cooling Tower &amp; Corrugated Fill'!$C$12))-32)/1.8+243.04))))*(1061+0.444*((C248+0.1*'Cooling Tower &amp; Corrugated Fill'!$C$12))))-('Merkel Solver'!$C$4+'Cooling Tower &amp; Corrugated Fill'!$C$13*0.1*'Cooling Tower &amp; Corrugated Fill'!$C$12)</f>
        <v/>
      </c>
      <c r="E248" s="14">
        <f>(0.24*((C248+0.4*'Cooling Tower &amp; Corrugated Fill'!$C$12))+0.62198*(0.61094*EXP(17.625*(((C248+0.4*'Cooling Tower &amp; Corrugated Fill'!$C$12))-32)/1.8/((((C248+0.4*'Cooling Tower &amp; Corrugated Fill'!$C$12))-32)/1.8+243.04)))/('Cooling Tower &amp; Corrugated Fill'!$C$14-(0.61094*EXP(17.625*(((C248+0.4*'Cooling Tower &amp; Corrugated Fill'!$C$12))-32)/1.8/((((C248+0.4*'Cooling Tower &amp; Corrugated Fill'!$C$12))-32)/1.8+243.04))))*(1061+0.444*((C248+0.4*'Cooling Tower &amp; Corrugated Fill'!$C$12))))-('Merkel Solver'!$C$4+'Cooling Tower &amp; Corrugated Fill'!$C$13*0.4*'Cooling Tower &amp; Corrugated Fill'!$C$12)</f>
        <v/>
      </c>
      <c r="F248" s="14">
        <f>(0.24*((C248+0.6*'Cooling Tower &amp; Corrugated Fill'!$C$12))+0.62198*(0.61094*EXP(17.625*(((C248+0.6*'Cooling Tower &amp; Corrugated Fill'!$C$12))-32)/1.8/((((C248+0.6*'Cooling Tower &amp; Corrugated Fill'!$C$12))-32)/1.8+243.04)))/('Cooling Tower &amp; Corrugated Fill'!$C$14-(0.61094*EXP(17.625*(((C248+0.6*'Cooling Tower &amp; Corrugated Fill'!$C$12))-32)/1.8/((((C248+0.6*'Cooling Tower &amp; Corrugated Fill'!$C$12))-32)/1.8+243.04))))*(1061+0.444*((C248+0.6*'Cooling Tower &amp; Corrugated Fill'!$C$12))))-('Merkel Solver'!$C$4+'Cooling Tower &amp; Corrugated Fill'!$C$13*0.6*'Cooling Tower &amp; Corrugated Fill'!$C$12)</f>
        <v/>
      </c>
      <c r="G248" s="14">
        <f>(0.24*((C248+0.9*'Cooling Tower &amp; Corrugated Fill'!$C$12))+0.62198*(0.61094*EXP(17.625*(((C248+0.9*'Cooling Tower &amp; Corrugated Fill'!$C$12))-32)/1.8/((((C248+0.9*'Cooling Tower &amp; Corrugated Fill'!$C$12))-32)/1.8+243.04)))/('Cooling Tower &amp; Corrugated Fill'!$C$14-(0.61094*EXP(17.625*(((C248+0.9*'Cooling Tower &amp; Corrugated Fill'!$C$12))-32)/1.8/((((C248+0.9*'Cooling Tower &amp; Corrugated Fill'!$C$12))-32)/1.8+243.04))))*(1061+0.444*((C248+0.9*'Cooling Tower &amp; Corrugated Fill'!$C$12))))-('Merkel Solver'!$C$4+'Cooling Tower &amp; Corrugated Fill'!$C$13*0.9*'Cooling Tower &amp; Corrugated Fill'!$C$12)</f>
        <v/>
      </c>
      <c r="H248" s="22">
        <f>IF(MIN(D248:G248)&lt;=0,99999,'Cooling Tower &amp; Corrugated Fill'!$C$12/4*(1/D248+1/E248+1/F248+1/G248))</f>
        <v/>
      </c>
    </row>
    <row r="249">
      <c r="B249" s="30" t="n">
        <v>24.3</v>
      </c>
      <c r="C249" s="12">
        <f>'Dashboard'!$C$9+B249</f>
        <v/>
      </c>
      <c r="D249" s="14">
        <f>(0.24*((C249+0.1*'Cooling Tower &amp; Corrugated Fill'!$C$12))+0.62198*(0.61094*EXP(17.625*(((C249+0.1*'Cooling Tower &amp; Corrugated Fill'!$C$12))-32)/1.8/((((C249+0.1*'Cooling Tower &amp; Corrugated Fill'!$C$12))-32)/1.8+243.04)))/('Cooling Tower &amp; Corrugated Fill'!$C$14-(0.61094*EXP(17.625*(((C249+0.1*'Cooling Tower &amp; Corrugated Fill'!$C$12))-32)/1.8/((((C249+0.1*'Cooling Tower &amp; Corrugated Fill'!$C$12))-32)/1.8+243.04))))*(1061+0.444*((C249+0.1*'Cooling Tower &amp; Corrugated Fill'!$C$12))))-('Merkel Solver'!$C$4+'Cooling Tower &amp; Corrugated Fill'!$C$13*0.1*'Cooling Tower &amp; Corrugated Fill'!$C$12)</f>
        <v/>
      </c>
      <c r="E249" s="14">
        <f>(0.24*((C249+0.4*'Cooling Tower &amp; Corrugated Fill'!$C$12))+0.62198*(0.61094*EXP(17.625*(((C249+0.4*'Cooling Tower &amp; Corrugated Fill'!$C$12))-32)/1.8/((((C249+0.4*'Cooling Tower &amp; Corrugated Fill'!$C$12))-32)/1.8+243.04)))/('Cooling Tower &amp; Corrugated Fill'!$C$14-(0.61094*EXP(17.625*(((C249+0.4*'Cooling Tower &amp; Corrugated Fill'!$C$12))-32)/1.8/((((C249+0.4*'Cooling Tower &amp; Corrugated Fill'!$C$12))-32)/1.8+243.04))))*(1061+0.444*((C249+0.4*'Cooling Tower &amp; Corrugated Fill'!$C$12))))-('Merkel Solver'!$C$4+'Cooling Tower &amp; Corrugated Fill'!$C$13*0.4*'Cooling Tower &amp; Corrugated Fill'!$C$12)</f>
        <v/>
      </c>
      <c r="F249" s="14">
        <f>(0.24*((C249+0.6*'Cooling Tower &amp; Corrugated Fill'!$C$12))+0.62198*(0.61094*EXP(17.625*(((C249+0.6*'Cooling Tower &amp; Corrugated Fill'!$C$12))-32)/1.8/((((C249+0.6*'Cooling Tower &amp; Corrugated Fill'!$C$12))-32)/1.8+243.04)))/('Cooling Tower &amp; Corrugated Fill'!$C$14-(0.61094*EXP(17.625*(((C249+0.6*'Cooling Tower &amp; Corrugated Fill'!$C$12))-32)/1.8/((((C249+0.6*'Cooling Tower &amp; Corrugated Fill'!$C$12))-32)/1.8+243.04))))*(1061+0.444*((C249+0.6*'Cooling Tower &amp; Corrugated Fill'!$C$12))))-('Merkel Solver'!$C$4+'Cooling Tower &amp; Corrugated Fill'!$C$13*0.6*'Cooling Tower &amp; Corrugated Fill'!$C$12)</f>
        <v/>
      </c>
      <c r="G249" s="14">
        <f>(0.24*((C249+0.9*'Cooling Tower &amp; Corrugated Fill'!$C$12))+0.62198*(0.61094*EXP(17.625*(((C249+0.9*'Cooling Tower &amp; Corrugated Fill'!$C$12))-32)/1.8/((((C249+0.9*'Cooling Tower &amp; Corrugated Fill'!$C$12))-32)/1.8+243.04)))/('Cooling Tower &amp; Corrugated Fill'!$C$14-(0.61094*EXP(17.625*(((C249+0.9*'Cooling Tower &amp; Corrugated Fill'!$C$12))-32)/1.8/((((C249+0.9*'Cooling Tower &amp; Corrugated Fill'!$C$12))-32)/1.8+243.04))))*(1061+0.444*((C249+0.9*'Cooling Tower &amp; Corrugated Fill'!$C$12))))-('Merkel Solver'!$C$4+'Cooling Tower &amp; Corrugated Fill'!$C$13*0.9*'Cooling Tower &amp; Corrugated Fill'!$C$12)</f>
        <v/>
      </c>
      <c r="H249" s="22">
        <f>IF(MIN(D249:G249)&lt;=0,99999,'Cooling Tower &amp; Corrugated Fill'!$C$12/4*(1/D249+1/E249+1/F249+1/G249))</f>
        <v/>
      </c>
    </row>
    <row r="250">
      <c r="B250" s="30" t="n">
        <v>24.4</v>
      </c>
      <c r="C250" s="12">
        <f>'Dashboard'!$C$9+B250</f>
        <v/>
      </c>
      <c r="D250" s="14">
        <f>(0.24*((C250+0.1*'Cooling Tower &amp; Corrugated Fill'!$C$12))+0.62198*(0.61094*EXP(17.625*(((C250+0.1*'Cooling Tower &amp; Corrugated Fill'!$C$12))-32)/1.8/((((C250+0.1*'Cooling Tower &amp; Corrugated Fill'!$C$12))-32)/1.8+243.04)))/('Cooling Tower &amp; Corrugated Fill'!$C$14-(0.61094*EXP(17.625*(((C250+0.1*'Cooling Tower &amp; Corrugated Fill'!$C$12))-32)/1.8/((((C250+0.1*'Cooling Tower &amp; Corrugated Fill'!$C$12))-32)/1.8+243.04))))*(1061+0.444*((C250+0.1*'Cooling Tower &amp; Corrugated Fill'!$C$12))))-('Merkel Solver'!$C$4+'Cooling Tower &amp; Corrugated Fill'!$C$13*0.1*'Cooling Tower &amp; Corrugated Fill'!$C$12)</f>
        <v/>
      </c>
      <c r="E250" s="14">
        <f>(0.24*((C250+0.4*'Cooling Tower &amp; Corrugated Fill'!$C$12))+0.62198*(0.61094*EXP(17.625*(((C250+0.4*'Cooling Tower &amp; Corrugated Fill'!$C$12))-32)/1.8/((((C250+0.4*'Cooling Tower &amp; Corrugated Fill'!$C$12))-32)/1.8+243.04)))/('Cooling Tower &amp; Corrugated Fill'!$C$14-(0.61094*EXP(17.625*(((C250+0.4*'Cooling Tower &amp; Corrugated Fill'!$C$12))-32)/1.8/((((C250+0.4*'Cooling Tower &amp; Corrugated Fill'!$C$12))-32)/1.8+243.04))))*(1061+0.444*((C250+0.4*'Cooling Tower &amp; Corrugated Fill'!$C$12))))-('Merkel Solver'!$C$4+'Cooling Tower &amp; Corrugated Fill'!$C$13*0.4*'Cooling Tower &amp; Corrugated Fill'!$C$12)</f>
        <v/>
      </c>
      <c r="F250" s="14">
        <f>(0.24*((C250+0.6*'Cooling Tower &amp; Corrugated Fill'!$C$12))+0.62198*(0.61094*EXP(17.625*(((C250+0.6*'Cooling Tower &amp; Corrugated Fill'!$C$12))-32)/1.8/((((C250+0.6*'Cooling Tower &amp; Corrugated Fill'!$C$12))-32)/1.8+243.04)))/('Cooling Tower &amp; Corrugated Fill'!$C$14-(0.61094*EXP(17.625*(((C250+0.6*'Cooling Tower &amp; Corrugated Fill'!$C$12))-32)/1.8/((((C250+0.6*'Cooling Tower &amp; Corrugated Fill'!$C$12))-32)/1.8+243.04))))*(1061+0.444*((C250+0.6*'Cooling Tower &amp; Corrugated Fill'!$C$12))))-('Merkel Solver'!$C$4+'Cooling Tower &amp; Corrugated Fill'!$C$13*0.6*'Cooling Tower &amp; Corrugated Fill'!$C$12)</f>
        <v/>
      </c>
      <c r="G250" s="14">
        <f>(0.24*((C250+0.9*'Cooling Tower &amp; Corrugated Fill'!$C$12))+0.62198*(0.61094*EXP(17.625*(((C250+0.9*'Cooling Tower &amp; Corrugated Fill'!$C$12))-32)/1.8/((((C250+0.9*'Cooling Tower &amp; Corrugated Fill'!$C$12))-32)/1.8+243.04)))/('Cooling Tower &amp; Corrugated Fill'!$C$14-(0.61094*EXP(17.625*(((C250+0.9*'Cooling Tower &amp; Corrugated Fill'!$C$12))-32)/1.8/((((C250+0.9*'Cooling Tower &amp; Corrugated Fill'!$C$12))-32)/1.8+243.04))))*(1061+0.444*((C250+0.9*'Cooling Tower &amp; Corrugated Fill'!$C$12))))-('Merkel Solver'!$C$4+'Cooling Tower &amp; Corrugated Fill'!$C$13*0.9*'Cooling Tower &amp; Corrugated Fill'!$C$12)</f>
        <v/>
      </c>
      <c r="H250" s="22">
        <f>IF(MIN(D250:G250)&lt;=0,99999,'Cooling Tower &amp; Corrugated Fill'!$C$12/4*(1/D250+1/E250+1/F250+1/G250))</f>
        <v/>
      </c>
    </row>
    <row r="251">
      <c r="B251" s="30" t="n">
        <v>24.5</v>
      </c>
      <c r="C251" s="12">
        <f>'Dashboard'!$C$9+B251</f>
        <v/>
      </c>
      <c r="D251" s="14">
        <f>(0.24*((C251+0.1*'Cooling Tower &amp; Corrugated Fill'!$C$12))+0.62198*(0.61094*EXP(17.625*(((C251+0.1*'Cooling Tower &amp; Corrugated Fill'!$C$12))-32)/1.8/((((C251+0.1*'Cooling Tower &amp; Corrugated Fill'!$C$12))-32)/1.8+243.04)))/('Cooling Tower &amp; Corrugated Fill'!$C$14-(0.61094*EXP(17.625*(((C251+0.1*'Cooling Tower &amp; Corrugated Fill'!$C$12))-32)/1.8/((((C251+0.1*'Cooling Tower &amp; Corrugated Fill'!$C$12))-32)/1.8+243.04))))*(1061+0.444*((C251+0.1*'Cooling Tower &amp; Corrugated Fill'!$C$12))))-('Merkel Solver'!$C$4+'Cooling Tower &amp; Corrugated Fill'!$C$13*0.1*'Cooling Tower &amp; Corrugated Fill'!$C$12)</f>
        <v/>
      </c>
      <c r="E251" s="14">
        <f>(0.24*((C251+0.4*'Cooling Tower &amp; Corrugated Fill'!$C$12))+0.62198*(0.61094*EXP(17.625*(((C251+0.4*'Cooling Tower &amp; Corrugated Fill'!$C$12))-32)/1.8/((((C251+0.4*'Cooling Tower &amp; Corrugated Fill'!$C$12))-32)/1.8+243.04)))/('Cooling Tower &amp; Corrugated Fill'!$C$14-(0.61094*EXP(17.625*(((C251+0.4*'Cooling Tower &amp; Corrugated Fill'!$C$12))-32)/1.8/((((C251+0.4*'Cooling Tower &amp; Corrugated Fill'!$C$12))-32)/1.8+243.04))))*(1061+0.444*((C251+0.4*'Cooling Tower &amp; Corrugated Fill'!$C$12))))-('Merkel Solver'!$C$4+'Cooling Tower &amp; Corrugated Fill'!$C$13*0.4*'Cooling Tower &amp; Corrugated Fill'!$C$12)</f>
        <v/>
      </c>
      <c r="F251" s="14">
        <f>(0.24*((C251+0.6*'Cooling Tower &amp; Corrugated Fill'!$C$12))+0.62198*(0.61094*EXP(17.625*(((C251+0.6*'Cooling Tower &amp; Corrugated Fill'!$C$12))-32)/1.8/((((C251+0.6*'Cooling Tower &amp; Corrugated Fill'!$C$12))-32)/1.8+243.04)))/('Cooling Tower &amp; Corrugated Fill'!$C$14-(0.61094*EXP(17.625*(((C251+0.6*'Cooling Tower &amp; Corrugated Fill'!$C$12))-32)/1.8/((((C251+0.6*'Cooling Tower &amp; Corrugated Fill'!$C$12))-32)/1.8+243.04))))*(1061+0.444*((C251+0.6*'Cooling Tower &amp; Corrugated Fill'!$C$12))))-('Merkel Solver'!$C$4+'Cooling Tower &amp; Corrugated Fill'!$C$13*0.6*'Cooling Tower &amp; Corrugated Fill'!$C$12)</f>
        <v/>
      </c>
      <c r="G251" s="14">
        <f>(0.24*((C251+0.9*'Cooling Tower &amp; Corrugated Fill'!$C$12))+0.62198*(0.61094*EXP(17.625*(((C251+0.9*'Cooling Tower &amp; Corrugated Fill'!$C$12))-32)/1.8/((((C251+0.9*'Cooling Tower &amp; Corrugated Fill'!$C$12))-32)/1.8+243.04)))/('Cooling Tower &amp; Corrugated Fill'!$C$14-(0.61094*EXP(17.625*(((C251+0.9*'Cooling Tower &amp; Corrugated Fill'!$C$12))-32)/1.8/((((C251+0.9*'Cooling Tower &amp; Corrugated Fill'!$C$12))-32)/1.8+243.04))))*(1061+0.444*((C251+0.9*'Cooling Tower &amp; Corrugated Fill'!$C$12))))-('Merkel Solver'!$C$4+'Cooling Tower &amp; Corrugated Fill'!$C$13*0.9*'Cooling Tower &amp; Corrugated Fill'!$C$12)</f>
        <v/>
      </c>
      <c r="H251" s="22">
        <f>IF(MIN(D251:G251)&lt;=0,99999,'Cooling Tower &amp; Corrugated Fill'!$C$12/4*(1/D251+1/E251+1/F251+1/G251))</f>
        <v/>
      </c>
    </row>
    <row r="252">
      <c r="B252" s="30" t="n">
        <v>24.6</v>
      </c>
      <c r="C252" s="12">
        <f>'Dashboard'!$C$9+B252</f>
        <v/>
      </c>
      <c r="D252" s="14">
        <f>(0.24*((C252+0.1*'Cooling Tower &amp; Corrugated Fill'!$C$12))+0.62198*(0.61094*EXP(17.625*(((C252+0.1*'Cooling Tower &amp; Corrugated Fill'!$C$12))-32)/1.8/((((C252+0.1*'Cooling Tower &amp; Corrugated Fill'!$C$12))-32)/1.8+243.04)))/('Cooling Tower &amp; Corrugated Fill'!$C$14-(0.61094*EXP(17.625*(((C252+0.1*'Cooling Tower &amp; Corrugated Fill'!$C$12))-32)/1.8/((((C252+0.1*'Cooling Tower &amp; Corrugated Fill'!$C$12))-32)/1.8+243.04))))*(1061+0.444*((C252+0.1*'Cooling Tower &amp; Corrugated Fill'!$C$12))))-('Merkel Solver'!$C$4+'Cooling Tower &amp; Corrugated Fill'!$C$13*0.1*'Cooling Tower &amp; Corrugated Fill'!$C$12)</f>
        <v/>
      </c>
      <c r="E252" s="14">
        <f>(0.24*((C252+0.4*'Cooling Tower &amp; Corrugated Fill'!$C$12))+0.62198*(0.61094*EXP(17.625*(((C252+0.4*'Cooling Tower &amp; Corrugated Fill'!$C$12))-32)/1.8/((((C252+0.4*'Cooling Tower &amp; Corrugated Fill'!$C$12))-32)/1.8+243.04)))/('Cooling Tower &amp; Corrugated Fill'!$C$14-(0.61094*EXP(17.625*(((C252+0.4*'Cooling Tower &amp; Corrugated Fill'!$C$12))-32)/1.8/((((C252+0.4*'Cooling Tower &amp; Corrugated Fill'!$C$12))-32)/1.8+243.04))))*(1061+0.444*((C252+0.4*'Cooling Tower &amp; Corrugated Fill'!$C$12))))-('Merkel Solver'!$C$4+'Cooling Tower &amp; Corrugated Fill'!$C$13*0.4*'Cooling Tower &amp; Corrugated Fill'!$C$12)</f>
        <v/>
      </c>
      <c r="F252" s="14">
        <f>(0.24*((C252+0.6*'Cooling Tower &amp; Corrugated Fill'!$C$12))+0.62198*(0.61094*EXP(17.625*(((C252+0.6*'Cooling Tower &amp; Corrugated Fill'!$C$12))-32)/1.8/((((C252+0.6*'Cooling Tower &amp; Corrugated Fill'!$C$12))-32)/1.8+243.04)))/('Cooling Tower &amp; Corrugated Fill'!$C$14-(0.61094*EXP(17.625*(((C252+0.6*'Cooling Tower &amp; Corrugated Fill'!$C$12))-32)/1.8/((((C252+0.6*'Cooling Tower &amp; Corrugated Fill'!$C$12))-32)/1.8+243.04))))*(1061+0.444*((C252+0.6*'Cooling Tower &amp; Corrugated Fill'!$C$12))))-('Merkel Solver'!$C$4+'Cooling Tower &amp; Corrugated Fill'!$C$13*0.6*'Cooling Tower &amp; Corrugated Fill'!$C$12)</f>
        <v/>
      </c>
      <c r="G252" s="14">
        <f>(0.24*((C252+0.9*'Cooling Tower &amp; Corrugated Fill'!$C$12))+0.62198*(0.61094*EXP(17.625*(((C252+0.9*'Cooling Tower &amp; Corrugated Fill'!$C$12))-32)/1.8/((((C252+0.9*'Cooling Tower &amp; Corrugated Fill'!$C$12))-32)/1.8+243.04)))/('Cooling Tower &amp; Corrugated Fill'!$C$14-(0.61094*EXP(17.625*(((C252+0.9*'Cooling Tower &amp; Corrugated Fill'!$C$12))-32)/1.8/((((C252+0.9*'Cooling Tower &amp; Corrugated Fill'!$C$12))-32)/1.8+243.04))))*(1061+0.444*((C252+0.9*'Cooling Tower &amp; Corrugated Fill'!$C$12))))-('Merkel Solver'!$C$4+'Cooling Tower &amp; Corrugated Fill'!$C$13*0.9*'Cooling Tower &amp; Corrugated Fill'!$C$12)</f>
        <v/>
      </c>
      <c r="H252" s="22">
        <f>IF(MIN(D252:G252)&lt;=0,99999,'Cooling Tower &amp; Corrugated Fill'!$C$12/4*(1/D252+1/E252+1/F252+1/G252))</f>
        <v/>
      </c>
    </row>
    <row r="253">
      <c r="B253" s="30" t="n">
        <v>24.7</v>
      </c>
      <c r="C253" s="12">
        <f>'Dashboard'!$C$9+B253</f>
        <v/>
      </c>
      <c r="D253" s="14">
        <f>(0.24*((C253+0.1*'Cooling Tower &amp; Corrugated Fill'!$C$12))+0.62198*(0.61094*EXP(17.625*(((C253+0.1*'Cooling Tower &amp; Corrugated Fill'!$C$12))-32)/1.8/((((C253+0.1*'Cooling Tower &amp; Corrugated Fill'!$C$12))-32)/1.8+243.04)))/('Cooling Tower &amp; Corrugated Fill'!$C$14-(0.61094*EXP(17.625*(((C253+0.1*'Cooling Tower &amp; Corrugated Fill'!$C$12))-32)/1.8/((((C253+0.1*'Cooling Tower &amp; Corrugated Fill'!$C$12))-32)/1.8+243.04))))*(1061+0.444*((C253+0.1*'Cooling Tower &amp; Corrugated Fill'!$C$12))))-('Merkel Solver'!$C$4+'Cooling Tower &amp; Corrugated Fill'!$C$13*0.1*'Cooling Tower &amp; Corrugated Fill'!$C$12)</f>
        <v/>
      </c>
      <c r="E253" s="14">
        <f>(0.24*((C253+0.4*'Cooling Tower &amp; Corrugated Fill'!$C$12))+0.62198*(0.61094*EXP(17.625*(((C253+0.4*'Cooling Tower &amp; Corrugated Fill'!$C$12))-32)/1.8/((((C253+0.4*'Cooling Tower &amp; Corrugated Fill'!$C$12))-32)/1.8+243.04)))/('Cooling Tower &amp; Corrugated Fill'!$C$14-(0.61094*EXP(17.625*(((C253+0.4*'Cooling Tower &amp; Corrugated Fill'!$C$12))-32)/1.8/((((C253+0.4*'Cooling Tower &amp; Corrugated Fill'!$C$12))-32)/1.8+243.04))))*(1061+0.444*((C253+0.4*'Cooling Tower &amp; Corrugated Fill'!$C$12))))-('Merkel Solver'!$C$4+'Cooling Tower &amp; Corrugated Fill'!$C$13*0.4*'Cooling Tower &amp; Corrugated Fill'!$C$12)</f>
        <v/>
      </c>
      <c r="F253" s="14">
        <f>(0.24*((C253+0.6*'Cooling Tower &amp; Corrugated Fill'!$C$12))+0.62198*(0.61094*EXP(17.625*(((C253+0.6*'Cooling Tower &amp; Corrugated Fill'!$C$12))-32)/1.8/((((C253+0.6*'Cooling Tower &amp; Corrugated Fill'!$C$12))-32)/1.8+243.04)))/('Cooling Tower &amp; Corrugated Fill'!$C$14-(0.61094*EXP(17.625*(((C253+0.6*'Cooling Tower &amp; Corrugated Fill'!$C$12))-32)/1.8/((((C253+0.6*'Cooling Tower &amp; Corrugated Fill'!$C$12))-32)/1.8+243.04))))*(1061+0.444*((C253+0.6*'Cooling Tower &amp; Corrugated Fill'!$C$12))))-('Merkel Solver'!$C$4+'Cooling Tower &amp; Corrugated Fill'!$C$13*0.6*'Cooling Tower &amp; Corrugated Fill'!$C$12)</f>
        <v/>
      </c>
      <c r="G253" s="14">
        <f>(0.24*((C253+0.9*'Cooling Tower &amp; Corrugated Fill'!$C$12))+0.62198*(0.61094*EXP(17.625*(((C253+0.9*'Cooling Tower &amp; Corrugated Fill'!$C$12))-32)/1.8/((((C253+0.9*'Cooling Tower &amp; Corrugated Fill'!$C$12))-32)/1.8+243.04)))/('Cooling Tower &amp; Corrugated Fill'!$C$14-(0.61094*EXP(17.625*(((C253+0.9*'Cooling Tower &amp; Corrugated Fill'!$C$12))-32)/1.8/((((C253+0.9*'Cooling Tower &amp; Corrugated Fill'!$C$12))-32)/1.8+243.04))))*(1061+0.444*((C253+0.9*'Cooling Tower &amp; Corrugated Fill'!$C$12))))-('Merkel Solver'!$C$4+'Cooling Tower &amp; Corrugated Fill'!$C$13*0.9*'Cooling Tower &amp; Corrugated Fill'!$C$12)</f>
        <v/>
      </c>
      <c r="H253" s="22">
        <f>IF(MIN(D253:G253)&lt;=0,99999,'Cooling Tower &amp; Corrugated Fill'!$C$12/4*(1/D253+1/E253+1/F253+1/G253))</f>
        <v/>
      </c>
    </row>
    <row r="254">
      <c r="B254" s="30" t="n">
        <v>24.8</v>
      </c>
      <c r="C254" s="12">
        <f>'Dashboard'!$C$9+B254</f>
        <v/>
      </c>
      <c r="D254" s="14">
        <f>(0.24*((C254+0.1*'Cooling Tower &amp; Corrugated Fill'!$C$12))+0.62198*(0.61094*EXP(17.625*(((C254+0.1*'Cooling Tower &amp; Corrugated Fill'!$C$12))-32)/1.8/((((C254+0.1*'Cooling Tower &amp; Corrugated Fill'!$C$12))-32)/1.8+243.04)))/('Cooling Tower &amp; Corrugated Fill'!$C$14-(0.61094*EXP(17.625*(((C254+0.1*'Cooling Tower &amp; Corrugated Fill'!$C$12))-32)/1.8/((((C254+0.1*'Cooling Tower &amp; Corrugated Fill'!$C$12))-32)/1.8+243.04))))*(1061+0.444*((C254+0.1*'Cooling Tower &amp; Corrugated Fill'!$C$12))))-('Merkel Solver'!$C$4+'Cooling Tower &amp; Corrugated Fill'!$C$13*0.1*'Cooling Tower &amp; Corrugated Fill'!$C$12)</f>
        <v/>
      </c>
      <c r="E254" s="14">
        <f>(0.24*((C254+0.4*'Cooling Tower &amp; Corrugated Fill'!$C$12))+0.62198*(0.61094*EXP(17.625*(((C254+0.4*'Cooling Tower &amp; Corrugated Fill'!$C$12))-32)/1.8/((((C254+0.4*'Cooling Tower &amp; Corrugated Fill'!$C$12))-32)/1.8+243.04)))/('Cooling Tower &amp; Corrugated Fill'!$C$14-(0.61094*EXP(17.625*(((C254+0.4*'Cooling Tower &amp; Corrugated Fill'!$C$12))-32)/1.8/((((C254+0.4*'Cooling Tower &amp; Corrugated Fill'!$C$12))-32)/1.8+243.04))))*(1061+0.444*((C254+0.4*'Cooling Tower &amp; Corrugated Fill'!$C$12))))-('Merkel Solver'!$C$4+'Cooling Tower &amp; Corrugated Fill'!$C$13*0.4*'Cooling Tower &amp; Corrugated Fill'!$C$12)</f>
        <v/>
      </c>
      <c r="F254" s="14">
        <f>(0.24*((C254+0.6*'Cooling Tower &amp; Corrugated Fill'!$C$12))+0.62198*(0.61094*EXP(17.625*(((C254+0.6*'Cooling Tower &amp; Corrugated Fill'!$C$12))-32)/1.8/((((C254+0.6*'Cooling Tower &amp; Corrugated Fill'!$C$12))-32)/1.8+243.04)))/('Cooling Tower &amp; Corrugated Fill'!$C$14-(0.61094*EXP(17.625*(((C254+0.6*'Cooling Tower &amp; Corrugated Fill'!$C$12))-32)/1.8/((((C254+0.6*'Cooling Tower &amp; Corrugated Fill'!$C$12))-32)/1.8+243.04))))*(1061+0.444*((C254+0.6*'Cooling Tower &amp; Corrugated Fill'!$C$12))))-('Merkel Solver'!$C$4+'Cooling Tower &amp; Corrugated Fill'!$C$13*0.6*'Cooling Tower &amp; Corrugated Fill'!$C$12)</f>
        <v/>
      </c>
      <c r="G254" s="14">
        <f>(0.24*((C254+0.9*'Cooling Tower &amp; Corrugated Fill'!$C$12))+0.62198*(0.61094*EXP(17.625*(((C254+0.9*'Cooling Tower &amp; Corrugated Fill'!$C$12))-32)/1.8/((((C254+0.9*'Cooling Tower &amp; Corrugated Fill'!$C$12))-32)/1.8+243.04)))/('Cooling Tower &amp; Corrugated Fill'!$C$14-(0.61094*EXP(17.625*(((C254+0.9*'Cooling Tower &amp; Corrugated Fill'!$C$12))-32)/1.8/((((C254+0.9*'Cooling Tower &amp; Corrugated Fill'!$C$12))-32)/1.8+243.04))))*(1061+0.444*((C254+0.9*'Cooling Tower &amp; Corrugated Fill'!$C$12))))-('Merkel Solver'!$C$4+'Cooling Tower &amp; Corrugated Fill'!$C$13*0.9*'Cooling Tower &amp; Corrugated Fill'!$C$12)</f>
        <v/>
      </c>
      <c r="H254" s="22">
        <f>IF(MIN(D254:G254)&lt;=0,99999,'Cooling Tower &amp; Corrugated Fill'!$C$12/4*(1/D254+1/E254+1/F254+1/G254))</f>
        <v/>
      </c>
    </row>
    <row r="255">
      <c r="B255" s="30" t="n">
        <v>24.9</v>
      </c>
      <c r="C255" s="12">
        <f>'Dashboard'!$C$9+B255</f>
        <v/>
      </c>
      <c r="D255" s="14">
        <f>(0.24*((C255+0.1*'Cooling Tower &amp; Corrugated Fill'!$C$12))+0.62198*(0.61094*EXP(17.625*(((C255+0.1*'Cooling Tower &amp; Corrugated Fill'!$C$12))-32)/1.8/((((C255+0.1*'Cooling Tower &amp; Corrugated Fill'!$C$12))-32)/1.8+243.04)))/('Cooling Tower &amp; Corrugated Fill'!$C$14-(0.61094*EXP(17.625*(((C255+0.1*'Cooling Tower &amp; Corrugated Fill'!$C$12))-32)/1.8/((((C255+0.1*'Cooling Tower &amp; Corrugated Fill'!$C$12))-32)/1.8+243.04))))*(1061+0.444*((C255+0.1*'Cooling Tower &amp; Corrugated Fill'!$C$12))))-('Merkel Solver'!$C$4+'Cooling Tower &amp; Corrugated Fill'!$C$13*0.1*'Cooling Tower &amp; Corrugated Fill'!$C$12)</f>
        <v/>
      </c>
      <c r="E255" s="14">
        <f>(0.24*((C255+0.4*'Cooling Tower &amp; Corrugated Fill'!$C$12))+0.62198*(0.61094*EXP(17.625*(((C255+0.4*'Cooling Tower &amp; Corrugated Fill'!$C$12))-32)/1.8/((((C255+0.4*'Cooling Tower &amp; Corrugated Fill'!$C$12))-32)/1.8+243.04)))/('Cooling Tower &amp; Corrugated Fill'!$C$14-(0.61094*EXP(17.625*(((C255+0.4*'Cooling Tower &amp; Corrugated Fill'!$C$12))-32)/1.8/((((C255+0.4*'Cooling Tower &amp; Corrugated Fill'!$C$12))-32)/1.8+243.04))))*(1061+0.444*((C255+0.4*'Cooling Tower &amp; Corrugated Fill'!$C$12))))-('Merkel Solver'!$C$4+'Cooling Tower &amp; Corrugated Fill'!$C$13*0.4*'Cooling Tower &amp; Corrugated Fill'!$C$12)</f>
        <v/>
      </c>
      <c r="F255" s="14">
        <f>(0.24*((C255+0.6*'Cooling Tower &amp; Corrugated Fill'!$C$12))+0.62198*(0.61094*EXP(17.625*(((C255+0.6*'Cooling Tower &amp; Corrugated Fill'!$C$12))-32)/1.8/((((C255+0.6*'Cooling Tower &amp; Corrugated Fill'!$C$12))-32)/1.8+243.04)))/('Cooling Tower &amp; Corrugated Fill'!$C$14-(0.61094*EXP(17.625*(((C255+0.6*'Cooling Tower &amp; Corrugated Fill'!$C$12))-32)/1.8/((((C255+0.6*'Cooling Tower &amp; Corrugated Fill'!$C$12))-32)/1.8+243.04))))*(1061+0.444*((C255+0.6*'Cooling Tower &amp; Corrugated Fill'!$C$12))))-('Merkel Solver'!$C$4+'Cooling Tower &amp; Corrugated Fill'!$C$13*0.6*'Cooling Tower &amp; Corrugated Fill'!$C$12)</f>
        <v/>
      </c>
      <c r="G255" s="14">
        <f>(0.24*((C255+0.9*'Cooling Tower &amp; Corrugated Fill'!$C$12))+0.62198*(0.61094*EXP(17.625*(((C255+0.9*'Cooling Tower &amp; Corrugated Fill'!$C$12))-32)/1.8/((((C255+0.9*'Cooling Tower &amp; Corrugated Fill'!$C$12))-32)/1.8+243.04)))/('Cooling Tower &amp; Corrugated Fill'!$C$14-(0.61094*EXP(17.625*(((C255+0.9*'Cooling Tower &amp; Corrugated Fill'!$C$12))-32)/1.8/((((C255+0.9*'Cooling Tower &amp; Corrugated Fill'!$C$12))-32)/1.8+243.04))))*(1061+0.444*((C255+0.9*'Cooling Tower &amp; Corrugated Fill'!$C$12))))-('Merkel Solver'!$C$4+'Cooling Tower &amp; Corrugated Fill'!$C$13*0.9*'Cooling Tower &amp; Corrugated Fill'!$C$12)</f>
        <v/>
      </c>
      <c r="H255" s="22">
        <f>IF(MIN(D255:G255)&lt;=0,99999,'Cooling Tower &amp; Corrugated Fill'!$C$12/4*(1/D255+1/E255+1/F255+1/G255))</f>
        <v/>
      </c>
    </row>
    <row r="256">
      <c r="B256" s="30" t="n">
        <v>25</v>
      </c>
      <c r="C256" s="12">
        <f>'Dashboard'!$C$9+B256</f>
        <v/>
      </c>
      <c r="D256" s="14">
        <f>(0.24*((C256+0.1*'Cooling Tower &amp; Corrugated Fill'!$C$12))+0.62198*(0.61094*EXP(17.625*(((C256+0.1*'Cooling Tower &amp; Corrugated Fill'!$C$12))-32)/1.8/((((C256+0.1*'Cooling Tower &amp; Corrugated Fill'!$C$12))-32)/1.8+243.04)))/('Cooling Tower &amp; Corrugated Fill'!$C$14-(0.61094*EXP(17.625*(((C256+0.1*'Cooling Tower &amp; Corrugated Fill'!$C$12))-32)/1.8/((((C256+0.1*'Cooling Tower &amp; Corrugated Fill'!$C$12))-32)/1.8+243.04))))*(1061+0.444*((C256+0.1*'Cooling Tower &amp; Corrugated Fill'!$C$12))))-('Merkel Solver'!$C$4+'Cooling Tower &amp; Corrugated Fill'!$C$13*0.1*'Cooling Tower &amp; Corrugated Fill'!$C$12)</f>
        <v/>
      </c>
      <c r="E256" s="14">
        <f>(0.24*((C256+0.4*'Cooling Tower &amp; Corrugated Fill'!$C$12))+0.62198*(0.61094*EXP(17.625*(((C256+0.4*'Cooling Tower &amp; Corrugated Fill'!$C$12))-32)/1.8/((((C256+0.4*'Cooling Tower &amp; Corrugated Fill'!$C$12))-32)/1.8+243.04)))/('Cooling Tower &amp; Corrugated Fill'!$C$14-(0.61094*EXP(17.625*(((C256+0.4*'Cooling Tower &amp; Corrugated Fill'!$C$12))-32)/1.8/((((C256+0.4*'Cooling Tower &amp; Corrugated Fill'!$C$12))-32)/1.8+243.04))))*(1061+0.444*((C256+0.4*'Cooling Tower &amp; Corrugated Fill'!$C$12))))-('Merkel Solver'!$C$4+'Cooling Tower &amp; Corrugated Fill'!$C$13*0.4*'Cooling Tower &amp; Corrugated Fill'!$C$12)</f>
        <v/>
      </c>
      <c r="F256" s="14">
        <f>(0.24*((C256+0.6*'Cooling Tower &amp; Corrugated Fill'!$C$12))+0.62198*(0.61094*EXP(17.625*(((C256+0.6*'Cooling Tower &amp; Corrugated Fill'!$C$12))-32)/1.8/((((C256+0.6*'Cooling Tower &amp; Corrugated Fill'!$C$12))-32)/1.8+243.04)))/('Cooling Tower &amp; Corrugated Fill'!$C$14-(0.61094*EXP(17.625*(((C256+0.6*'Cooling Tower &amp; Corrugated Fill'!$C$12))-32)/1.8/((((C256+0.6*'Cooling Tower &amp; Corrugated Fill'!$C$12))-32)/1.8+243.04))))*(1061+0.444*((C256+0.6*'Cooling Tower &amp; Corrugated Fill'!$C$12))))-('Merkel Solver'!$C$4+'Cooling Tower &amp; Corrugated Fill'!$C$13*0.6*'Cooling Tower &amp; Corrugated Fill'!$C$12)</f>
        <v/>
      </c>
      <c r="G256" s="14">
        <f>(0.24*((C256+0.9*'Cooling Tower &amp; Corrugated Fill'!$C$12))+0.62198*(0.61094*EXP(17.625*(((C256+0.9*'Cooling Tower &amp; Corrugated Fill'!$C$12))-32)/1.8/((((C256+0.9*'Cooling Tower &amp; Corrugated Fill'!$C$12))-32)/1.8+243.04)))/('Cooling Tower &amp; Corrugated Fill'!$C$14-(0.61094*EXP(17.625*(((C256+0.9*'Cooling Tower &amp; Corrugated Fill'!$C$12))-32)/1.8/((((C256+0.9*'Cooling Tower &amp; Corrugated Fill'!$C$12))-32)/1.8+243.04))))*(1061+0.444*((C256+0.9*'Cooling Tower &amp; Corrugated Fill'!$C$12))))-('Merkel Solver'!$C$4+'Cooling Tower &amp; Corrugated Fill'!$C$13*0.9*'Cooling Tower &amp; Corrugated Fill'!$C$12)</f>
        <v/>
      </c>
      <c r="H256" s="22">
        <f>IF(MIN(D256:G256)&lt;=0,99999,'Cooling Tower &amp; Corrugated Fill'!$C$12/4*(1/D256+1/E256+1/F256+1/G256))</f>
        <v/>
      </c>
    </row>
    <row r="257">
      <c r="B257" s="30" t="n">
        <v>25.1</v>
      </c>
      <c r="C257" s="12">
        <f>'Dashboard'!$C$9+B257</f>
        <v/>
      </c>
      <c r="D257" s="14">
        <f>(0.24*((C257+0.1*'Cooling Tower &amp; Corrugated Fill'!$C$12))+0.62198*(0.61094*EXP(17.625*(((C257+0.1*'Cooling Tower &amp; Corrugated Fill'!$C$12))-32)/1.8/((((C257+0.1*'Cooling Tower &amp; Corrugated Fill'!$C$12))-32)/1.8+243.04)))/('Cooling Tower &amp; Corrugated Fill'!$C$14-(0.61094*EXP(17.625*(((C257+0.1*'Cooling Tower &amp; Corrugated Fill'!$C$12))-32)/1.8/((((C257+0.1*'Cooling Tower &amp; Corrugated Fill'!$C$12))-32)/1.8+243.04))))*(1061+0.444*((C257+0.1*'Cooling Tower &amp; Corrugated Fill'!$C$12))))-('Merkel Solver'!$C$4+'Cooling Tower &amp; Corrugated Fill'!$C$13*0.1*'Cooling Tower &amp; Corrugated Fill'!$C$12)</f>
        <v/>
      </c>
      <c r="E257" s="14">
        <f>(0.24*((C257+0.4*'Cooling Tower &amp; Corrugated Fill'!$C$12))+0.62198*(0.61094*EXP(17.625*(((C257+0.4*'Cooling Tower &amp; Corrugated Fill'!$C$12))-32)/1.8/((((C257+0.4*'Cooling Tower &amp; Corrugated Fill'!$C$12))-32)/1.8+243.04)))/('Cooling Tower &amp; Corrugated Fill'!$C$14-(0.61094*EXP(17.625*(((C257+0.4*'Cooling Tower &amp; Corrugated Fill'!$C$12))-32)/1.8/((((C257+0.4*'Cooling Tower &amp; Corrugated Fill'!$C$12))-32)/1.8+243.04))))*(1061+0.444*((C257+0.4*'Cooling Tower &amp; Corrugated Fill'!$C$12))))-('Merkel Solver'!$C$4+'Cooling Tower &amp; Corrugated Fill'!$C$13*0.4*'Cooling Tower &amp; Corrugated Fill'!$C$12)</f>
        <v/>
      </c>
      <c r="F257" s="14">
        <f>(0.24*((C257+0.6*'Cooling Tower &amp; Corrugated Fill'!$C$12))+0.62198*(0.61094*EXP(17.625*(((C257+0.6*'Cooling Tower &amp; Corrugated Fill'!$C$12))-32)/1.8/((((C257+0.6*'Cooling Tower &amp; Corrugated Fill'!$C$12))-32)/1.8+243.04)))/('Cooling Tower &amp; Corrugated Fill'!$C$14-(0.61094*EXP(17.625*(((C257+0.6*'Cooling Tower &amp; Corrugated Fill'!$C$12))-32)/1.8/((((C257+0.6*'Cooling Tower &amp; Corrugated Fill'!$C$12))-32)/1.8+243.04))))*(1061+0.444*((C257+0.6*'Cooling Tower &amp; Corrugated Fill'!$C$12))))-('Merkel Solver'!$C$4+'Cooling Tower &amp; Corrugated Fill'!$C$13*0.6*'Cooling Tower &amp; Corrugated Fill'!$C$12)</f>
        <v/>
      </c>
      <c r="G257" s="14">
        <f>(0.24*((C257+0.9*'Cooling Tower &amp; Corrugated Fill'!$C$12))+0.62198*(0.61094*EXP(17.625*(((C257+0.9*'Cooling Tower &amp; Corrugated Fill'!$C$12))-32)/1.8/((((C257+0.9*'Cooling Tower &amp; Corrugated Fill'!$C$12))-32)/1.8+243.04)))/('Cooling Tower &amp; Corrugated Fill'!$C$14-(0.61094*EXP(17.625*(((C257+0.9*'Cooling Tower &amp; Corrugated Fill'!$C$12))-32)/1.8/((((C257+0.9*'Cooling Tower &amp; Corrugated Fill'!$C$12))-32)/1.8+243.04))))*(1061+0.444*((C257+0.9*'Cooling Tower &amp; Corrugated Fill'!$C$12))))-('Merkel Solver'!$C$4+'Cooling Tower &amp; Corrugated Fill'!$C$13*0.9*'Cooling Tower &amp; Corrugated Fill'!$C$12)</f>
        <v/>
      </c>
      <c r="H257" s="22">
        <f>IF(MIN(D257:G257)&lt;=0,99999,'Cooling Tower &amp; Corrugated Fill'!$C$12/4*(1/D257+1/E257+1/F257+1/G257))</f>
        <v/>
      </c>
    </row>
    <row r="258">
      <c r="B258" s="30" t="n">
        <v>25.2</v>
      </c>
      <c r="C258" s="12">
        <f>'Dashboard'!$C$9+B258</f>
        <v/>
      </c>
      <c r="D258" s="14">
        <f>(0.24*((C258+0.1*'Cooling Tower &amp; Corrugated Fill'!$C$12))+0.62198*(0.61094*EXP(17.625*(((C258+0.1*'Cooling Tower &amp; Corrugated Fill'!$C$12))-32)/1.8/((((C258+0.1*'Cooling Tower &amp; Corrugated Fill'!$C$12))-32)/1.8+243.04)))/('Cooling Tower &amp; Corrugated Fill'!$C$14-(0.61094*EXP(17.625*(((C258+0.1*'Cooling Tower &amp; Corrugated Fill'!$C$12))-32)/1.8/((((C258+0.1*'Cooling Tower &amp; Corrugated Fill'!$C$12))-32)/1.8+243.04))))*(1061+0.444*((C258+0.1*'Cooling Tower &amp; Corrugated Fill'!$C$12))))-('Merkel Solver'!$C$4+'Cooling Tower &amp; Corrugated Fill'!$C$13*0.1*'Cooling Tower &amp; Corrugated Fill'!$C$12)</f>
        <v/>
      </c>
      <c r="E258" s="14">
        <f>(0.24*((C258+0.4*'Cooling Tower &amp; Corrugated Fill'!$C$12))+0.62198*(0.61094*EXP(17.625*(((C258+0.4*'Cooling Tower &amp; Corrugated Fill'!$C$12))-32)/1.8/((((C258+0.4*'Cooling Tower &amp; Corrugated Fill'!$C$12))-32)/1.8+243.04)))/('Cooling Tower &amp; Corrugated Fill'!$C$14-(0.61094*EXP(17.625*(((C258+0.4*'Cooling Tower &amp; Corrugated Fill'!$C$12))-32)/1.8/((((C258+0.4*'Cooling Tower &amp; Corrugated Fill'!$C$12))-32)/1.8+243.04))))*(1061+0.444*((C258+0.4*'Cooling Tower &amp; Corrugated Fill'!$C$12))))-('Merkel Solver'!$C$4+'Cooling Tower &amp; Corrugated Fill'!$C$13*0.4*'Cooling Tower &amp; Corrugated Fill'!$C$12)</f>
        <v/>
      </c>
      <c r="F258" s="14">
        <f>(0.24*((C258+0.6*'Cooling Tower &amp; Corrugated Fill'!$C$12))+0.62198*(0.61094*EXP(17.625*(((C258+0.6*'Cooling Tower &amp; Corrugated Fill'!$C$12))-32)/1.8/((((C258+0.6*'Cooling Tower &amp; Corrugated Fill'!$C$12))-32)/1.8+243.04)))/('Cooling Tower &amp; Corrugated Fill'!$C$14-(0.61094*EXP(17.625*(((C258+0.6*'Cooling Tower &amp; Corrugated Fill'!$C$12))-32)/1.8/((((C258+0.6*'Cooling Tower &amp; Corrugated Fill'!$C$12))-32)/1.8+243.04))))*(1061+0.444*((C258+0.6*'Cooling Tower &amp; Corrugated Fill'!$C$12))))-('Merkel Solver'!$C$4+'Cooling Tower &amp; Corrugated Fill'!$C$13*0.6*'Cooling Tower &amp; Corrugated Fill'!$C$12)</f>
        <v/>
      </c>
      <c r="G258" s="14">
        <f>(0.24*((C258+0.9*'Cooling Tower &amp; Corrugated Fill'!$C$12))+0.62198*(0.61094*EXP(17.625*(((C258+0.9*'Cooling Tower &amp; Corrugated Fill'!$C$12))-32)/1.8/((((C258+0.9*'Cooling Tower &amp; Corrugated Fill'!$C$12))-32)/1.8+243.04)))/('Cooling Tower &amp; Corrugated Fill'!$C$14-(0.61094*EXP(17.625*(((C258+0.9*'Cooling Tower &amp; Corrugated Fill'!$C$12))-32)/1.8/((((C258+0.9*'Cooling Tower &amp; Corrugated Fill'!$C$12))-32)/1.8+243.04))))*(1061+0.444*((C258+0.9*'Cooling Tower &amp; Corrugated Fill'!$C$12))))-('Merkel Solver'!$C$4+'Cooling Tower &amp; Corrugated Fill'!$C$13*0.9*'Cooling Tower &amp; Corrugated Fill'!$C$12)</f>
        <v/>
      </c>
      <c r="H258" s="22">
        <f>IF(MIN(D258:G258)&lt;=0,99999,'Cooling Tower &amp; Corrugated Fill'!$C$12/4*(1/D258+1/E258+1/F258+1/G258))</f>
        <v/>
      </c>
    </row>
    <row r="259">
      <c r="B259" s="30" t="n">
        <v>25.3</v>
      </c>
      <c r="C259" s="12">
        <f>'Dashboard'!$C$9+B259</f>
        <v/>
      </c>
      <c r="D259" s="14">
        <f>(0.24*((C259+0.1*'Cooling Tower &amp; Corrugated Fill'!$C$12))+0.62198*(0.61094*EXP(17.625*(((C259+0.1*'Cooling Tower &amp; Corrugated Fill'!$C$12))-32)/1.8/((((C259+0.1*'Cooling Tower &amp; Corrugated Fill'!$C$12))-32)/1.8+243.04)))/('Cooling Tower &amp; Corrugated Fill'!$C$14-(0.61094*EXP(17.625*(((C259+0.1*'Cooling Tower &amp; Corrugated Fill'!$C$12))-32)/1.8/((((C259+0.1*'Cooling Tower &amp; Corrugated Fill'!$C$12))-32)/1.8+243.04))))*(1061+0.444*((C259+0.1*'Cooling Tower &amp; Corrugated Fill'!$C$12))))-('Merkel Solver'!$C$4+'Cooling Tower &amp; Corrugated Fill'!$C$13*0.1*'Cooling Tower &amp; Corrugated Fill'!$C$12)</f>
        <v/>
      </c>
      <c r="E259" s="14">
        <f>(0.24*((C259+0.4*'Cooling Tower &amp; Corrugated Fill'!$C$12))+0.62198*(0.61094*EXP(17.625*(((C259+0.4*'Cooling Tower &amp; Corrugated Fill'!$C$12))-32)/1.8/((((C259+0.4*'Cooling Tower &amp; Corrugated Fill'!$C$12))-32)/1.8+243.04)))/('Cooling Tower &amp; Corrugated Fill'!$C$14-(0.61094*EXP(17.625*(((C259+0.4*'Cooling Tower &amp; Corrugated Fill'!$C$12))-32)/1.8/((((C259+0.4*'Cooling Tower &amp; Corrugated Fill'!$C$12))-32)/1.8+243.04))))*(1061+0.444*((C259+0.4*'Cooling Tower &amp; Corrugated Fill'!$C$12))))-('Merkel Solver'!$C$4+'Cooling Tower &amp; Corrugated Fill'!$C$13*0.4*'Cooling Tower &amp; Corrugated Fill'!$C$12)</f>
        <v/>
      </c>
      <c r="F259" s="14">
        <f>(0.24*((C259+0.6*'Cooling Tower &amp; Corrugated Fill'!$C$12))+0.62198*(0.61094*EXP(17.625*(((C259+0.6*'Cooling Tower &amp; Corrugated Fill'!$C$12))-32)/1.8/((((C259+0.6*'Cooling Tower &amp; Corrugated Fill'!$C$12))-32)/1.8+243.04)))/('Cooling Tower &amp; Corrugated Fill'!$C$14-(0.61094*EXP(17.625*(((C259+0.6*'Cooling Tower &amp; Corrugated Fill'!$C$12))-32)/1.8/((((C259+0.6*'Cooling Tower &amp; Corrugated Fill'!$C$12))-32)/1.8+243.04))))*(1061+0.444*((C259+0.6*'Cooling Tower &amp; Corrugated Fill'!$C$12))))-('Merkel Solver'!$C$4+'Cooling Tower &amp; Corrugated Fill'!$C$13*0.6*'Cooling Tower &amp; Corrugated Fill'!$C$12)</f>
        <v/>
      </c>
      <c r="G259" s="14">
        <f>(0.24*((C259+0.9*'Cooling Tower &amp; Corrugated Fill'!$C$12))+0.62198*(0.61094*EXP(17.625*(((C259+0.9*'Cooling Tower &amp; Corrugated Fill'!$C$12))-32)/1.8/((((C259+0.9*'Cooling Tower &amp; Corrugated Fill'!$C$12))-32)/1.8+243.04)))/('Cooling Tower &amp; Corrugated Fill'!$C$14-(0.61094*EXP(17.625*(((C259+0.9*'Cooling Tower &amp; Corrugated Fill'!$C$12))-32)/1.8/((((C259+0.9*'Cooling Tower &amp; Corrugated Fill'!$C$12))-32)/1.8+243.04))))*(1061+0.444*((C259+0.9*'Cooling Tower &amp; Corrugated Fill'!$C$12))))-('Merkel Solver'!$C$4+'Cooling Tower &amp; Corrugated Fill'!$C$13*0.9*'Cooling Tower &amp; Corrugated Fill'!$C$12)</f>
        <v/>
      </c>
      <c r="H259" s="22">
        <f>IF(MIN(D259:G259)&lt;=0,99999,'Cooling Tower &amp; Corrugated Fill'!$C$12/4*(1/D259+1/E259+1/F259+1/G259))</f>
        <v/>
      </c>
    </row>
    <row r="260">
      <c r="B260" s="30" t="n">
        <v>25.4</v>
      </c>
      <c r="C260" s="12">
        <f>'Dashboard'!$C$9+B260</f>
        <v/>
      </c>
      <c r="D260" s="14">
        <f>(0.24*((C260+0.1*'Cooling Tower &amp; Corrugated Fill'!$C$12))+0.62198*(0.61094*EXP(17.625*(((C260+0.1*'Cooling Tower &amp; Corrugated Fill'!$C$12))-32)/1.8/((((C260+0.1*'Cooling Tower &amp; Corrugated Fill'!$C$12))-32)/1.8+243.04)))/('Cooling Tower &amp; Corrugated Fill'!$C$14-(0.61094*EXP(17.625*(((C260+0.1*'Cooling Tower &amp; Corrugated Fill'!$C$12))-32)/1.8/((((C260+0.1*'Cooling Tower &amp; Corrugated Fill'!$C$12))-32)/1.8+243.04))))*(1061+0.444*((C260+0.1*'Cooling Tower &amp; Corrugated Fill'!$C$12))))-('Merkel Solver'!$C$4+'Cooling Tower &amp; Corrugated Fill'!$C$13*0.1*'Cooling Tower &amp; Corrugated Fill'!$C$12)</f>
        <v/>
      </c>
      <c r="E260" s="14">
        <f>(0.24*((C260+0.4*'Cooling Tower &amp; Corrugated Fill'!$C$12))+0.62198*(0.61094*EXP(17.625*(((C260+0.4*'Cooling Tower &amp; Corrugated Fill'!$C$12))-32)/1.8/((((C260+0.4*'Cooling Tower &amp; Corrugated Fill'!$C$12))-32)/1.8+243.04)))/('Cooling Tower &amp; Corrugated Fill'!$C$14-(0.61094*EXP(17.625*(((C260+0.4*'Cooling Tower &amp; Corrugated Fill'!$C$12))-32)/1.8/((((C260+0.4*'Cooling Tower &amp; Corrugated Fill'!$C$12))-32)/1.8+243.04))))*(1061+0.444*((C260+0.4*'Cooling Tower &amp; Corrugated Fill'!$C$12))))-('Merkel Solver'!$C$4+'Cooling Tower &amp; Corrugated Fill'!$C$13*0.4*'Cooling Tower &amp; Corrugated Fill'!$C$12)</f>
        <v/>
      </c>
      <c r="F260" s="14">
        <f>(0.24*((C260+0.6*'Cooling Tower &amp; Corrugated Fill'!$C$12))+0.62198*(0.61094*EXP(17.625*(((C260+0.6*'Cooling Tower &amp; Corrugated Fill'!$C$12))-32)/1.8/((((C260+0.6*'Cooling Tower &amp; Corrugated Fill'!$C$12))-32)/1.8+243.04)))/('Cooling Tower &amp; Corrugated Fill'!$C$14-(0.61094*EXP(17.625*(((C260+0.6*'Cooling Tower &amp; Corrugated Fill'!$C$12))-32)/1.8/((((C260+0.6*'Cooling Tower &amp; Corrugated Fill'!$C$12))-32)/1.8+243.04))))*(1061+0.444*((C260+0.6*'Cooling Tower &amp; Corrugated Fill'!$C$12))))-('Merkel Solver'!$C$4+'Cooling Tower &amp; Corrugated Fill'!$C$13*0.6*'Cooling Tower &amp; Corrugated Fill'!$C$12)</f>
        <v/>
      </c>
      <c r="G260" s="14">
        <f>(0.24*((C260+0.9*'Cooling Tower &amp; Corrugated Fill'!$C$12))+0.62198*(0.61094*EXP(17.625*(((C260+0.9*'Cooling Tower &amp; Corrugated Fill'!$C$12))-32)/1.8/((((C260+0.9*'Cooling Tower &amp; Corrugated Fill'!$C$12))-32)/1.8+243.04)))/('Cooling Tower &amp; Corrugated Fill'!$C$14-(0.61094*EXP(17.625*(((C260+0.9*'Cooling Tower &amp; Corrugated Fill'!$C$12))-32)/1.8/((((C260+0.9*'Cooling Tower &amp; Corrugated Fill'!$C$12))-32)/1.8+243.04))))*(1061+0.444*((C260+0.9*'Cooling Tower &amp; Corrugated Fill'!$C$12))))-('Merkel Solver'!$C$4+'Cooling Tower &amp; Corrugated Fill'!$C$13*0.9*'Cooling Tower &amp; Corrugated Fill'!$C$12)</f>
        <v/>
      </c>
      <c r="H260" s="22">
        <f>IF(MIN(D260:G260)&lt;=0,99999,'Cooling Tower &amp; Corrugated Fill'!$C$12/4*(1/D260+1/E260+1/F260+1/G260))</f>
        <v/>
      </c>
    </row>
    <row r="261">
      <c r="B261" s="30" t="n">
        <v>25.5</v>
      </c>
      <c r="C261" s="12">
        <f>'Dashboard'!$C$9+B261</f>
        <v/>
      </c>
      <c r="D261" s="14">
        <f>(0.24*((C261+0.1*'Cooling Tower &amp; Corrugated Fill'!$C$12))+0.62198*(0.61094*EXP(17.625*(((C261+0.1*'Cooling Tower &amp; Corrugated Fill'!$C$12))-32)/1.8/((((C261+0.1*'Cooling Tower &amp; Corrugated Fill'!$C$12))-32)/1.8+243.04)))/('Cooling Tower &amp; Corrugated Fill'!$C$14-(0.61094*EXP(17.625*(((C261+0.1*'Cooling Tower &amp; Corrugated Fill'!$C$12))-32)/1.8/((((C261+0.1*'Cooling Tower &amp; Corrugated Fill'!$C$12))-32)/1.8+243.04))))*(1061+0.444*((C261+0.1*'Cooling Tower &amp; Corrugated Fill'!$C$12))))-('Merkel Solver'!$C$4+'Cooling Tower &amp; Corrugated Fill'!$C$13*0.1*'Cooling Tower &amp; Corrugated Fill'!$C$12)</f>
        <v/>
      </c>
      <c r="E261" s="14">
        <f>(0.24*((C261+0.4*'Cooling Tower &amp; Corrugated Fill'!$C$12))+0.62198*(0.61094*EXP(17.625*(((C261+0.4*'Cooling Tower &amp; Corrugated Fill'!$C$12))-32)/1.8/((((C261+0.4*'Cooling Tower &amp; Corrugated Fill'!$C$12))-32)/1.8+243.04)))/('Cooling Tower &amp; Corrugated Fill'!$C$14-(0.61094*EXP(17.625*(((C261+0.4*'Cooling Tower &amp; Corrugated Fill'!$C$12))-32)/1.8/((((C261+0.4*'Cooling Tower &amp; Corrugated Fill'!$C$12))-32)/1.8+243.04))))*(1061+0.444*((C261+0.4*'Cooling Tower &amp; Corrugated Fill'!$C$12))))-('Merkel Solver'!$C$4+'Cooling Tower &amp; Corrugated Fill'!$C$13*0.4*'Cooling Tower &amp; Corrugated Fill'!$C$12)</f>
        <v/>
      </c>
      <c r="F261" s="14">
        <f>(0.24*((C261+0.6*'Cooling Tower &amp; Corrugated Fill'!$C$12))+0.62198*(0.61094*EXP(17.625*(((C261+0.6*'Cooling Tower &amp; Corrugated Fill'!$C$12))-32)/1.8/((((C261+0.6*'Cooling Tower &amp; Corrugated Fill'!$C$12))-32)/1.8+243.04)))/('Cooling Tower &amp; Corrugated Fill'!$C$14-(0.61094*EXP(17.625*(((C261+0.6*'Cooling Tower &amp; Corrugated Fill'!$C$12))-32)/1.8/((((C261+0.6*'Cooling Tower &amp; Corrugated Fill'!$C$12))-32)/1.8+243.04))))*(1061+0.444*((C261+0.6*'Cooling Tower &amp; Corrugated Fill'!$C$12))))-('Merkel Solver'!$C$4+'Cooling Tower &amp; Corrugated Fill'!$C$13*0.6*'Cooling Tower &amp; Corrugated Fill'!$C$12)</f>
        <v/>
      </c>
      <c r="G261" s="14">
        <f>(0.24*((C261+0.9*'Cooling Tower &amp; Corrugated Fill'!$C$12))+0.62198*(0.61094*EXP(17.625*(((C261+0.9*'Cooling Tower &amp; Corrugated Fill'!$C$12))-32)/1.8/((((C261+0.9*'Cooling Tower &amp; Corrugated Fill'!$C$12))-32)/1.8+243.04)))/('Cooling Tower &amp; Corrugated Fill'!$C$14-(0.61094*EXP(17.625*(((C261+0.9*'Cooling Tower &amp; Corrugated Fill'!$C$12))-32)/1.8/((((C261+0.9*'Cooling Tower &amp; Corrugated Fill'!$C$12))-32)/1.8+243.04))))*(1061+0.444*((C261+0.9*'Cooling Tower &amp; Corrugated Fill'!$C$12))))-('Merkel Solver'!$C$4+'Cooling Tower &amp; Corrugated Fill'!$C$13*0.9*'Cooling Tower &amp; Corrugated Fill'!$C$12)</f>
        <v/>
      </c>
      <c r="H261" s="22">
        <f>IF(MIN(D261:G261)&lt;=0,99999,'Cooling Tower &amp; Corrugated Fill'!$C$12/4*(1/D261+1/E261+1/F261+1/G261))</f>
        <v/>
      </c>
    </row>
    <row r="262">
      <c r="B262" s="30" t="n">
        <v>25.6</v>
      </c>
      <c r="C262" s="12">
        <f>'Dashboard'!$C$9+B262</f>
        <v/>
      </c>
      <c r="D262" s="14">
        <f>(0.24*((C262+0.1*'Cooling Tower &amp; Corrugated Fill'!$C$12))+0.62198*(0.61094*EXP(17.625*(((C262+0.1*'Cooling Tower &amp; Corrugated Fill'!$C$12))-32)/1.8/((((C262+0.1*'Cooling Tower &amp; Corrugated Fill'!$C$12))-32)/1.8+243.04)))/('Cooling Tower &amp; Corrugated Fill'!$C$14-(0.61094*EXP(17.625*(((C262+0.1*'Cooling Tower &amp; Corrugated Fill'!$C$12))-32)/1.8/((((C262+0.1*'Cooling Tower &amp; Corrugated Fill'!$C$12))-32)/1.8+243.04))))*(1061+0.444*((C262+0.1*'Cooling Tower &amp; Corrugated Fill'!$C$12))))-('Merkel Solver'!$C$4+'Cooling Tower &amp; Corrugated Fill'!$C$13*0.1*'Cooling Tower &amp; Corrugated Fill'!$C$12)</f>
        <v/>
      </c>
      <c r="E262" s="14">
        <f>(0.24*((C262+0.4*'Cooling Tower &amp; Corrugated Fill'!$C$12))+0.62198*(0.61094*EXP(17.625*(((C262+0.4*'Cooling Tower &amp; Corrugated Fill'!$C$12))-32)/1.8/((((C262+0.4*'Cooling Tower &amp; Corrugated Fill'!$C$12))-32)/1.8+243.04)))/('Cooling Tower &amp; Corrugated Fill'!$C$14-(0.61094*EXP(17.625*(((C262+0.4*'Cooling Tower &amp; Corrugated Fill'!$C$12))-32)/1.8/((((C262+0.4*'Cooling Tower &amp; Corrugated Fill'!$C$12))-32)/1.8+243.04))))*(1061+0.444*((C262+0.4*'Cooling Tower &amp; Corrugated Fill'!$C$12))))-('Merkel Solver'!$C$4+'Cooling Tower &amp; Corrugated Fill'!$C$13*0.4*'Cooling Tower &amp; Corrugated Fill'!$C$12)</f>
        <v/>
      </c>
      <c r="F262" s="14">
        <f>(0.24*((C262+0.6*'Cooling Tower &amp; Corrugated Fill'!$C$12))+0.62198*(0.61094*EXP(17.625*(((C262+0.6*'Cooling Tower &amp; Corrugated Fill'!$C$12))-32)/1.8/((((C262+0.6*'Cooling Tower &amp; Corrugated Fill'!$C$12))-32)/1.8+243.04)))/('Cooling Tower &amp; Corrugated Fill'!$C$14-(0.61094*EXP(17.625*(((C262+0.6*'Cooling Tower &amp; Corrugated Fill'!$C$12))-32)/1.8/((((C262+0.6*'Cooling Tower &amp; Corrugated Fill'!$C$12))-32)/1.8+243.04))))*(1061+0.444*((C262+0.6*'Cooling Tower &amp; Corrugated Fill'!$C$12))))-('Merkel Solver'!$C$4+'Cooling Tower &amp; Corrugated Fill'!$C$13*0.6*'Cooling Tower &amp; Corrugated Fill'!$C$12)</f>
        <v/>
      </c>
      <c r="G262" s="14">
        <f>(0.24*((C262+0.9*'Cooling Tower &amp; Corrugated Fill'!$C$12))+0.62198*(0.61094*EXP(17.625*(((C262+0.9*'Cooling Tower &amp; Corrugated Fill'!$C$12))-32)/1.8/((((C262+0.9*'Cooling Tower &amp; Corrugated Fill'!$C$12))-32)/1.8+243.04)))/('Cooling Tower &amp; Corrugated Fill'!$C$14-(0.61094*EXP(17.625*(((C262+0.9*'Cooling Tower &amp; Corrugated Fill'!$C$12))-32)/1.8/((((C262+0.9*'Cooling Tower &amp; Corrugated Fill'!$C$12))-32)/1.8+243.04))))*(1061+0.444*((C262+0.9*'Cooling Tower &amp; Corrugated Fill'!$C$12))))-('Merkel Solver'!$C$4+'Cooling Tower &amp; Corrugated Fill'!$C$13*0.9*'Cooling Tower &amp; Corrugated Fill'!$C$12)</f>
        <v/>
      </c>
      <c r="H262" s="22">
        <f>IF(MIN(D262:G262)&lt;=0,99999,'Cooling Tower &amp; Corrugated Fill'!$C$12/4*(1/D262+1/E262+1/F262+1/G262))</f>
        <v/>
      </c>
    </row>
    <row r="263">
      <c r="B263" s="30" t="n">
        <v>25.7</v>
      </c>
      <c r="C263" s="12">
        <f>'Dashboard'!$C$9+B263</f>
        <v/>
      </c>
      <c r="D263" s="14">
        <f>(0.24*((C263+0.1*'Cooling Tower &amp; Corrugated Fill'!$C$12))+0.62198*(0.61094*EXP(17.625*(((C263+0.1*'Cooling Tower &amp; Corrugated Fill'!$C$12))-32)/1.8/((((C263+0.1*'Cooling Tower &amp; Corrugated Fill'!$C$12))-32)/1.8+243.04)))/('Cooling Tower &amp; Corrugated Fill'!$C$14-(0.61094*EXP(17.625*(((C263+0.1*'Cooling Tower &amp; Corrugated Fill'!$C$12))-32)/1.8/((((C263+0.1*'Cooling Tower &amp; Corrugated Fill'!$C$12))-32)/1.8+243.04))))*(1061+0.444*((C263+0.1*'Cooling Tower &amp; Corrugated Fill'!$C$12))))-('Merkel Solver'!$C$4+'Cooling Tower &amp; Corrugated Fill'!$C$13*0.1*'Cooling Tower &amp; Corrugated Fill'!$C$12)</f>
        <v/>
      </c>
      <c r="E263" s="14">
        <f>(0.24*((C263+0.4*'Cooling Tower &amp; Corrugated Fill'!$C$12))+0.62198*(0.61094*EXP(17.625*(((C263+0.4*'Cooling Tower &amp; Corrugated Fill'!$C$12))-32)/1.8/((((C263+0.4*'Cooling Tower &amp; Corrugated Fill'!$C$12))-32)/1.8+243.04)))/('Cooling Tower &amp; Corrugated Fill'!$C$14-(0.61094*EXP(17.625*(((C263+0.4*'Cooling Tower &amp; Corrugated Fill'!$C$12))-32)/1.8/((((C263+0.4*'Cooling Tower &amp; Corrugated Fill'!$C$12))-32)/1.8+243.04))))*(1061+0.444*((C263+0.4*'Cooling Tower &amp; Corrugated Fill'!$C$12))))-('Merkel Solver'!$C$4+'Cooling Tower &amp; Corrugated Fill'!$C$13*0.4*'Cooling Tower &amp; Corrugated Fill'!$C$12)</f>
        <v/>
      </c>
      <c r="F263" s="14">
        <f>(0.24*((C263+0.6*'Cooling Tower &amp; Corrugated Fill'!$C$12))+0.62198*(0.61094*EXP(17.625*(((C263+0.6*'Cooling Tower &amp; Corrugated Fill'!$C$12))-32)/1.8/((((C263+0.6*'Cooling Tower &amp; Corrugated Fill'!$C$12))-32)/1.8+243.04)))/('Cooling Tower &amp; Corrugated Fill'!$C$14-(0.61094*EXP(17.625*(((C263+0.6*'Cooling Tower &amp; Corrugated Fill'!$C$12))-32)/1.8/((((C263+0.6*'Cooling Tower &amp; Corrugated Fill'!$C$12))-32)/1.8+243.04))))*(1061+0.444*((C263+0.6*'Cooling Tower &amp; Corrugated Fill'!$C$12))))-('Merkel Solver'!$C$4+'Cooling Tower &amp; Corrugated Fill'!$C$13*0.6*'Cooling Tower &amp; Corrugated Fill'!$C$12)</f>
        <v/>
      </c>
      <c r="G263" s="14">
        <f>(0.24*((C263+0.9*'Cooling Tower &amp; Corrugated Fill'!$C$12))+0.62198*(0.61094*EXP(17.625*(((C263+0.9*'Cooling Tower &amp; Corrugated Fill'!$C$12))-32)/1.8/((((C263+0.9*'Cooling Tower &amp; Corrugated Fill'!$C$12))-32)/1.8+243.04)))/('Cooling Tower &amp; Corrugated Fill'!$C$14-(0.61094*EXP(17.625*(((C263+0.9*'Cooling Tower &amp; Corrugated Fill'!$C$12))-32)/1.8/((((C263+0.9*'Cooling Tower &amp; Corrugated Fill'!$C$12))-32)/1.8+243.04))))*(1061+0.444*((C263+0.9*'Cooling Tower &amp; Corrugated Fill'!$C$12))))-('Merkel Solver'!$C$4+'Cooling Tower &amp; Corrugated Fill'!$C$13*0.9*'Cooling Tower &amp; Corrugated Fill'!$C$12)</f>
        <v/>
      </c>
      <c r="H263" s="22">
        <f>IF(MIN(D263:G263)&lt;=0,99999,'Cooling Tower &amp; Corrugated Fill'!$C$12/4*(1/D263+1/E263+1/F263+1/G263))</f>
        <v/>
      </c>
    </row>
    <row r="264">
      <c r="B264" s="30" t="n">
        <v>25.8</v>
      </c>
      <c r="C264" s="12">
        <f>'Dashboard'!$C$9+B264</f>
        <v/>
      </c>
      <c r="D264" s="14">
        <f>(0.24*((C264+0.1*'Cooling Tower &amp; Corrugated Fill'!$C$12))+0.62198*(0.61094*EXP(17.625*(((C264+0.1*'Cooling Tower &amp; Corrugated Fill'!$C$12))-32)/1.8/((((C264+0.1*'Cooling Tower &amp; Corrugated Fill'!$C$12))-32)/1.8+243.04)))/('Cooling Tower &amp; Corrugated Fill'!$C$14-(0.61094*EXP(17.625*(((C264+0.1*'Cooling Tower &amp; Corrugated Fill'!$C$12))-32)/1.8/((((C264+0.1*'Cooling Tower &amp; Corrugated Fill'!$C$12))-32)/1.8+243.04))))*(1061+0.444*((C264+0.1*'Cooling Tower &amp; Corrugated Fill'!$C$12))))-('Merkel Solver'!$C$4+'Cooling Tower &amp; Corrugated Fill'!$C$13*0.1*'Cooling Tower &amp; Corrugated Fill'!$C$12)</f>
        <v/>
      </c>
      <c r="E264" s="14">
        <f>(0.24*((C264+0.4*'Cooling Tower &amp; Corrugated Fill'!$C$12))+0.62198*(0.61094*EXP(17.625*(((C264+0.4*'Cooling Tower &amp; Corrugated Fill'!$C$12))-32)/1.8/((((C264+0.4*'Cooling Tower &amp; Corrugated Fill'!$C$12))-32)/1.8+243.04)))/('Cooling Tower &amp; Corrugated Fill'!$C$14-(0.61094*EXP(17.625*(((C264+0.4*'Cooling Tower &amp; Corrugated Fill'!$C$12))-32)/1.8/((((C264+0.4*'Cooling Tower &amp; Corrugated Fill'!$C$12))-32)/1.8+243.04))))*(1061+0.444*((C264+0.4*'Cooling Tower &amp; Corrugated Fill'!$C$12))))-('Merkel Solver'!$C$4+'Cooling Tower &amp; Corrugated Fill'!$C$13*0.4*'Cooling Tower &amp; Corrugated Fill'!$C$12)</f>
        <v/>
      </c>
      <c r="F264" s="14">
        <f>(0.24*((C264+0.6*'Cooling Tower &amp; Corrugated Fill'!$C$12))+0.62198*(0.61094*EXP(17.625*(((C264+0.6*'Cooling Tower &amp; Corrugated Fill'!$C$12))-32)/1.8/((((C264+0.6*'Cooling Tower &amp; Corrugated Fill'!$C$12))-32)/1.8+243.04)))/('Cooling Tower &amp; Corrugated Fill'!$C$14-(0.61094*EXP(17.625*(((C264+0.6*'Cooling Tower &amp; Corrugated Fill'!$C$12))-32)/1.8/((((C264+0.6*'Cooling Tower &amp; Corrugated Fill'!$C$12))-32)/1.8+243.04))))*(1061+0.444*((C264+0.6*'Cooling Tower &amp; Corrugated Fill'!$C$12))))-('Merkel Solver'!$C$4+'Cooling Tower &amp; Corrugated Fill'!$C$13*0.6*'Cooling Tower &amp; Corrugated Fill'!$C$12)</f>
        <v/>
      </c>
      <c r="G264" s="14">
        <f>(0.24*((C264+0.9*'Cooling Tower &amp; Corrugated Fill'!$C$12))+0.62198*(0.61094*EXP(17.625*(((C264+0.9*'Cooling Tower &amp; Corrugated Fill'!$C$12))-32)/1.8/((((C264+0.9*'Cooling Tower &amp; Corrugated Fill'!$C$12))-32)/1.8+243.04)))/('Cooling Tower &amp; Corrugated Fill'!$C$14-(0.61094*EXP(17.625*(((C264+0.9*'Cooling Tower &amp; Corrugated Fill'!$C$12))-32)/1.8/((((C264+0.9*'Cooling Tower &amp; Corrugated Fill'!$C$12))-32)/1.8+243.04))))*(1061+0.444*((C264+0.9*'Cooling Tower &amp; Corrugated Fill'!$C$12))))-('Merkel Solver'!$C$4+'Cooling Tower &amp; Corrugated Fill'!$C$13*0.9*'Cooling Tower &amp; Corrugated Fill'!$C$12)</f>
        <v/>
      </c>
      <c r="H264" s="22">
        <f>IF(MIN(D264:G264)&lt;=0,99999,'Cooling Tower &amp; Corrugated Fill'!$C$12/4*(1/D264+1/E264+1/F264+1/G264))</f>
        <v/>
      </c>
    </row>
    <row r="265">
      <c r="B265" s="30" t="n">
        <v>25.9</v>
      </c>
      <c r="C265" s="12">
        <f>'Dashboard'!$C$9+B265</f>
        <v/>
      </c>
      <c r="D265" s="14">
        <f>(0.24*((C265+0.1*'Cooling Tower &amp; Corrugated Fill'!$C$12))+0.62198*(0.61094*EXP(17.625*(((C265+0.1*'Cooling Tower &amp; Corrugated Fill'!$C$12))-32)/1.8/((((C265+0.1*'Cooling Tower &amp; Corrugated Fill'!$C$12))-32)/1.8+243.04)))/('Cooling Tower &amp; Corrugated Fill'!$C$14-(0.61094*EXP(17.625*(((C265+0.1*'Cooling Tower &amp; Corrugated Fill'!$C$12))-32)/1.8/((((C265+0.1*'Cooling Tower &amp; Corrugated Fill'!$C$12))-32)/1.8+243.04))))*(1061+0.444*((C265+0.1*'Cooling Tower &amp; Corrugated Fill'!$C$12))))-('Merkel Solver'!$C$4+'Cooling Tower &amp; Corrugated Fill'!$C$13*0.1*'Cooling Tower &amp; Corrugated Fill'!$C$12)</f>
        <v/>
      </c>
      <c r="E265" s="14">
        <f>(0.24*((C265+0.4*'Cooling Tower &amp; Corrugated Fill'!$C$12))+0.62198*(0.61094*EXP(17.625*(((C265+0.4*'Cooling Tower &amp; Corrugated Fill'!$C$12))-32)/1.8/((((C265+0.4*'Cooling Tower &amp; Corrugated Fill'!$C$12))-32)/1.8+243.04)))/('Cooling Tower &amp; Corrugated Fill'!$C$14-(0.61094*EXP(17.625*(((C265+0.4*'Cooling Tower &amp; Corrugated Fill'!$C$12))-32)/1.8/((((C265+0.4*'Cooling Tower &amp; Corrugated Fill'!$C$12))-32)/1.8+243.04))))*(1061+0.444*((C265+0.4*'Cooling Tower &amp; Corrugated Fill'!$C$12))))-('Merkel Solver'!$C$4+'Cooling Tower &amp; Corrugated Fill'!$C$13*0.4*'Cooling Tower &amp; Corrugated Fill'!$C$12)</f>
        <v/>
      </c>
      <c r="F265" s="14">
        <f>(0.24*((C265+0.6*'Cooling Tower &amp; Corrugated Fill'!$C$12))+0.62198*(0.61094*EXP(17.625*(((C265+0.6*'Cooling Tower &amp; Corrugated Fill'!$C$12))-32)/1.8/((((C265+0.6*'Cooling Tower &amp; Corrugated Fill'!$C$12))-32)/1.8+243.04)))/('Cooling Tower &amp; Corrugated Fill'!$C$14-(0.61094*EXP(17.625*(((C265+0.6*'Cooling Tower &amp; Corrugated Fill'!$C$12))-32)/1.8/((((C265+0.6*'Cooling Tower &amp; Corrugated Fill'!$C$12))-32)/1.8+243.04))))*(1061+0.444*((C265+0.6*'Cooling Tower &amp; Corrugated Fill'!$C$12))))-('Merkel Solver'!$C$4+'Cooling Tower &amp; Corrugated Fill'!$C$13*0.6*'Cooling Tower &amp; Corrugated Fill'!$C$12)</f>
        <v/>
      </c>
      <c r="G265" s="14">
        <f>(0.24*((C265+0.9*'Cooling Tower &amp; Corrugated Fill'!$C$12))+0.62198*(0.61094*EXP(17.625*(((C265+0.9*'Cooling Tower &amp; Corrugated Fill'!$C$12))-32)/1.8/((((C265+0.9*'Cooling Tower &amp; Corrugated Fill'!$C$12))-32)/1.8+243.04)))/('Cooling Tower &amp; Corrugated Fill'!$C$14-(0.61094*EXP(17.625*(((C265+0.9*'Cooling Tower &amp; Corrugated Fill'!$C$12))-32)/1.8/((((C265+0.9*'Cooling Tower &amp; Corrugated Fill'!$C$12))-32)/1.8+243.04))))*(1061+0.444*((C265+0.9*'Cooling Tower &amp; Corrugated Fill'!$C$12))))-('Merkel Solver'!$C$4+'Cooling Tower &amp; Corrugated Fill'!$C$13*0.9*'Cooling Tower &amp; Corrugated Fill'!$C$12)</f>
        <v/>
      </c>
      <c r="H265" s="22">
        <f>IF(MIN(D265:G265)&lt;=0,99999,'Cooling Tower &amp; Corrugated Fill'!$C$12/4*(1/D265+1/E265+1/F265+1/G265))</f>
        <v/>
      </c>
    </row>
    <row r="266">
      <c r="B266" s="30" t="n">
        <v>26</v>
      </c>
      <c r="C266" s="12">
        <f>'Dashboard'!$C$9+B266</f>
        <v/>
      </c>
      <c r="D266" s="14">
        <f>(0.24*((C266+0.1*'Cooling Tower &amp; Corrugated Fill'!$C$12))+0.62198*(0.61094*EXP(17.625*(((C266+0.1*'Cooling Tower &amp; Corrugated Fill'!$C$12))-32)/1.8/((((C266+0.1*'Cooling Tower &amp; Corrugated Fill'!$C$12))-32)/1.8+243.04)))/('Cooling Tower &amp; Corrugated Fill'!$C$14-(0.61094*EXP(17.625*(((C266+0.1*'Cooling Tower &amp; Corrugated Fill'!$C$12))-32)/1.8/((((C266+0.1*'Cooling Tower &amp; Corrugated Fill'!$C$12))-32)/1.8+243.04))))*(1061+0.444*((C266+0.1*'Cooling Tower &amp; Corrugated Fill'!$C$12))))-('Merkel Solver'!$C$4+'Cooling Tower &amp; Corrugated Fill'!$C$13*0.1*'Cooling Tower &amp; Corrugated Fill'!$C$12)</f>
        <v/>
      </c>
      <c r="E266" s="14">
        <f>(0.24*((C266+0.4*'Cooling Tower &amp; Corrugated Fill'!$C$12))+0.62198*(0.61094*EXP(17.625*(((C266+0.4*'Cooling Tower &amp; Corrugated Fill'!$C$12))-32)/1.8/((((C266+0.4*'Cooling Tower &amp; Corrugated Fill'!$C$12))-32)/1.8+243.04)))/('Cooling Tower &amp; Corrugated Fill'!$C$14-(0.61094*EXP(17.625*(((C266+0.4*'Cooling Tower &amp; Corrugated Fill'!$C$12))-32)/1.8/((((C266+0.4*'Cooling Tower &amp; Corrugated Fill'!$C$12))-32)/1.8+243.04))))*(1061+0.444*((C266+0.4*'Cooling Tower &amp; Corrugated Fill'!$C$12))))-('Merkel Solver'!$C$4+'Cooling Tower &amp; Corrugated Fill'!$C$13*0.4*'Cooling Tower &amp; Corrugated Fill'!$C$12)</f>
        <v/>
      </c>
      <c r="F266" s="14">
        <f>(0.24*((C266+0.6*'Cooling Tower &amp; Corrugated Fill'!$C$12))+0.62198*(0.61094*EXP(17.625*(((C266+0.6*'Cooling Tower &amp; Corrugated Fill'!$C$12))-32)/1.8/((((C266+0.6*'Cooling Tower &amp; Corrugated Fill'!$C$12))-32)/1.8+243.04)))/('Cooling Tower &amp; Corrugated Fill'!$C$14-(0.61094*EXP(17.625*(((C266+0.6*'Cooling Tower &amp; Corrugated Fill'!$C$12))-32)/1.8/((((C266+0.6*'Cooling Tower &amp; Corrugated Fill'!$C$12))-32)/1.8+243.04))))*(1061+0.444*((C266+0.6*'Cooling Tower &amp; Corrugated Fill'!$C$12))))-('Merkel Solver'!$C$4+'Cooling Tower &amp; Corrugated Fill'!$C$13*0.6*'Cooling Tower &amp; Corrugated Fill'!$C$12)</f>
        <v/>
      </c>
      <c r="G266" s="14">
        <f>(0.24*((C266+0.9*'Cooling Tower &amp; Corrugated Fill'!$C$12))+0.62198*(0.61094*EXP(17.625*(((C266+0.9*'Cooling Tower &amp; Corrugated Fill'!$C$12))-32)/1.8/((((C266+0.9*'Cooling Tower &amp; Corrugated Fill'!$C$12))-32)/1.8+243.04)))/('Cooling Tower &amp; Corrugated Fill'!$C$14-(0.61094*EXP(17.625*(((C266+0.9*'Cooling Tower &amp; Corrugated Fill'!$C$12))-32)/1.8/((((C266+0.9*'Cooling Tower &amp; Corrugated Fill'!$C$12))-32)/1.8+243.04))))*(1061+0.444*((C266+0.9*'Cooling Tower &amp; Corrugated Fill'!$C$12))))-('Merkel Solver'!$C$4+'Cooling Tower &amp; Corrugated Fill'!$C$13*0.9*'Cooling Tower &amp; Corrugated Fill'!$C$12)</f>
        <v/>
      </c>
      <c r="H266" s="22">
        <f>IF(MIN(D266:G266)&lt;=0,99999,'Cooling Tower &amp; Corrugated Fill'!$C$12/4*(1/D266+1/E266+1/F266+1/G266))</f>
        <v/>
      </c>
    </row>
    <row r="267">
      <c r="B267" s="30" t="n">
        <v>26.1</v>
      </c>
      <c r="C267" s="12">
        <f>'Dashboard'!$C$9+B267</f>
        <v/>
      </c>
      <c r="D267" s="14">
        <f>(0.24*((C267+0.1*'Cooling Tower &amp; Corrugated Fill'!$C$12))+0.62198*(0.61094*EXP(17.625*(((C267+0.1*'Cooling Tower &amp; Corrugated Fill'!$C$12))-32)/1.8/((((C267+0.1*'Cooling Tower &amp; Corrugated Fill'!$C$12))-32)/1.8+243.04)))/('Cooling Tower &amp; Corrugated Fill'!$C$14-(0.61094*EXP(17.625*(((C267+0.1*'Cooling Tower &amp; Corrugated Fill'!$C$12))-32)/1.8/((((C267+0.1*'Cooling Tower &amp; Corrugated Fill'!$C$12))-32)/1.8+243.04))))*(1061+0.444*((C267+0.1*'Cooling Tower &amp; Corrugated Fill'!$C$12))))-('Merkel Solver'!$C$4+'Cooling Tower &amp; Corrugated Fill'!$C$13*0.1*'Cooling Tower &amp; Corrugated Fill'!$C$12)</f>
        <v/>
      </c>
      <c r="E267" s="14">
        <f>(0.24*((C267+0.4*'Cooling Tower &amp; Corrugated Fill'!$C$12))+0.62198*(0.61094*EXP(17.625*(((C267+0.4*'Cooling Tower &amp; Corrugated Fill'!$C$12))-32)/1.8/((((C267+0.4*'Cooling Tower &amp; Corrugated Fill'!$C$12))-32)/1.8+243.04)))/('Cooling Tower &amp; Corrugated Fill'!$C$14-(0.61094*EXP(17.625*(((C267+0.4*'Cooling Tower &amp; Corrugated Fill'!$C$12))-32)/1.8/((((C267+0.4*'Cooling Tower &amp; Corrugated Fill'!$C$12))-32)/1.8+243.04))))*(1061+0.444*((C267+0.4*'Cooling Tower &amp; Corrugated Fill'!$C$12))))-('Merkel Solver'!$C$4+'Cooling Tower &amp; Corrugated Fill'!$C$13*0.4*'Cooling Tower &amp; Corrugated Fill'!$C$12)</f>
        <v/>
      </c>
      <c r="F267" s="14">
        <f>(0.24*((C267+0.6*'Cooling Tower &amp; Corrugated Fill'!$C$12))+0.62198*(0.61094*EXP(17.625*(((C267+0.6*'Cooling Tower &amp; Corrugated Fill'!$C$12))-32)/1.8/((((C267+0.6*'Cooling Tower &amp; Corrugated Fill'!$C$12))-32)/1.8+243.04)))/('Cooling Tower &amp; Corrugated Fill'!$C$14-(0.61094*EXP(17.625*(((C267+0.6*'Cooling Tower &amp; Corrugated Fill'!$C$12))-32)/1.8/((((C267+0.6*'Cooling Tower &amp; Corrugated Fill'!$C$12))-32)/1.8+243.04))))*(1061+0.444*((C267+0.6*'Cooling Tower &amp; Corrugated Fill'!$C$12))))-('Merkel Solver'!$C$4+'Cooling Tower &amp; Corrugated Fill'!$C$13*0.6*'Cooling Tower &amp; Corrugated Fill'!$C$12)</f>
        <v/>
      </c>
      <c r="G267" s="14">
        <f>(0.24*((C267+0.9*'Cooling Tower &amp; Corrugated Fill'!$C$12))+0.62198*(0.61094*EXP(17.625*(((C267+0.9*'Cooling Tower &amp; Corrugated Fill'!$C$12))-32)/1.8/((((C267+0.9*'Cooling Tower &amp; Corrugated Fill'!$C$12))-32)/1.8+243.04)))/('Cooling Tower &amp; Corrugated Fill'!$C$14-(0.61094*EXP(17.625*(((C267+0.9*'Cooling Tower &amp; Corrugated Fill'!$C$12))-32)/1.8/((((C267+0.9*'Cooling Tower &amp; Corrugated Fill'!$C$12))-32)/1.8+243.04))))*(1061+0.444*((C267+0.9*'Cooling Tower &amp; Corrugated Fill'!$C$12))))-('Merkel Solver'!$C$4+'Cooling Tower &amp; Corrugated Fill'!$C$13*0.9*'Cooling Tower &amp; Corrugated Fill'!$C$12)</f>
        <v/>
      </c>
      <c r="H267" s="22">
        <f>IF(MIN(D267:G267)&lt;=0,99999,'Cooling Tower &amp; Corrugated Fill'!$C$12/4*(1/D267+1/E267+1/F267+1/G267))</f>
        <v/>
      </c>
    </row>
    <row r="268">
      <c r="B268" s="30" t="n">
        <v>26.2</v>
      </c>
      <c r="C268" s="12">
        <f>'Dashboard'!$C$9+B268</f>
        <v/>
      </c>
      <c r="D268" s="14">
        <f>(0.24*((C268+0.1*'Cooling Tower &amp; Corrugated Fill'!$C$12))+0.62198*(0.61094*EXP(17.625*(((C268+0.1*'Cooling Tower &amp; Corrugated Fill'!$C$12))-32)/1.8/((((C268+0.1*'Cooling Tower &amp; Corrugated Fill'!$C$12))-32)/1.8+243.04)))/('Cooling Tower &amp; Corrugated Fill'!$C$14-(0.61094*EXP(17.625*(((C268+0.1*'Cooling Tower &amp; Corrugated Fill'!$C$12))-32)/1.8/((((C268+0.1*'Cooling Tower &amp; Corrugated Fill'!$C$12))-32)/1.8+243.04))))*(1061+0.444*((C268+0.1*'Cooling Tower &amp; Corrugated Fill'!$C$12))))-('Merkel Solver'!$C$4+'Cooling Tower &amp; Corrugated Fill'!$C$13*0.1*'Cooling Tower &amp; Corrugated Fill'!$C$12)</f>
        <v/>
      </c>
      <c r="E268" s="14">
        <f>(0.24*((C268+0.4*'Cooling Tower &amp; Corrugated Fill'!$C$12))+0.62198*(0.61094*EXP(17.625*(((C268+0.4*'Cooling Tower &amp; Corrugated Fill'!$C$12))-32)/1.8/((((C268+0.4*'Cooling Tower &amp; Corrugated Fill'!$C$12))-32)/1.8+243.04)))/('Cooling Tower &amp; Corrugated Fill'!$C$14-(0.61094*EXP(17.625*(((C268+0.4*'Cooling Tower &amp; Corrugated Fill'!$C$12))-32)/1.8/((((C268+0.4*'Cooling Tower &amp; Corrugated Fill'!$C$12))-32)/1.8+243.04))))*(1061+0.444*((C268+0.4*'Cooling Tower &amp; Corrugated Fill'!$C$12))))-('Merkel Solver'!$C$4+'Cooling Tower &amp; Corrugated Fill'!$C$13*0.4*'Cooling Tower &amp; Corrugated Fill'!$C$12)</f>
        <v/>
      </c>
      <c r="F268" s="14">
        <f>(0.24*((C268+0.6*'Cooling Tower &amp; Corrugated Fill'!$C$12))+0.62198*(0.61094*EXP(17.625*(((C268+0.6*'Cooling Tower &amp; Corrugated Fill'!$C$12))-32)/1.8/((((C268+0.6*'Cooling Tower &amp; Corrugated Fill'!$C$12))-32)/1.8+243.04)))/('Cooling Tower &amp; Corrugated Fill'!$C$14-(0.61094*EXP(17.625*(((C268+0.6*'Cooling Tower &amp; Corrugated Fill'!$C$12))-32)/1.8/((((C268+0.6*'Cooling Tower &amp; Corrugated Fill'!$C$12))-32)/1.8+243.04))))*(1061+0.444*((C268+0.6*'Cooling Tower &amp; Corrugated Fill'!$C$12))))-('Merkel Solver'!$C$4+'Cooling Tower &amp; Corrugated Fill'!$C$13*0.6*'Cooling Tower &amp; Corrugated Fill'!$C$12)</f>
        <v/>
      </c>
      <c r="G268" s="14">
        <f>(0.24*((C268+0.9*'Cooling Tower &amp; Corrugated Fill'!$C$12))+0.62198*(0.61094*EXP(17.625*(((C268+0.9*'Cooling Tower &amp; Corrugated Fill'!$C$12))-32)/1.8/((((C268+0.9*'Cooling Tower &amp; Corrugated Fill'!$C$12))-32)/1.8+243.04)))/('Cooling Tower &amp; Corrugated Fill'!$C$14-(0.61094*EXP(17.625*(((C268+0.9*'Cooling Tower &amp; Corrugated Fill'!$C$12))-32)/1.8/((((C268+0.9*'Cooling Tower &amp; Corrugated Fill'!$C$12))-32)/1.8+243.04))))*(1061+0.444*((C268+0.9*'Cooling Tower &amp; Corrugated Fill'!$C$12))))-('Merkel Solver'!$C$4+'Cooling Tower &amp; Corrugated Fill'!$C$13*0.9*'Cooling Tower &amp; Corrugated Fill'!$C$12)</f>
        <v/>
      </c>
      <c r="H268" s="22">
        <f>IF(MIN(D268:G268)&lt;=0,99999,'Cooling Tower &amp; Corrugated Fill'!$C$12/4*(1/D268+1/E268+1/F268+1/G268))</f>
        <v/>
      </c>
    </row>
    <row r="269">
      <c r="B269" s="30" t="n">
        <v>26.3</v>
      </c>
      <c r="C269" s="12">
        <f>'Dashboard'!$C$9+B269</f>
        <v/>
      </c>
      <c r="D269" s="14">
        <f>(0.24*((C269+0.1*'Cooling Tower &amp; Corrugated Fill'!$C$12))+0.62198*(0.61094*EXP(17.625*(((C269+0.1*'Cooling Tower &amp; Corrugated Fill'!$C$12))-32)/1.8/((((C269+0.1*'Cooling Tower &amp; Corrugated Fill'!$C$12))-32)/1.8+243.04)))/('Cooling Tower &amp; Corrugated Fill'!$C$14-(0.61094*EXP(17.625*(((C269+0.1*'Cooling Tower &amp; Corrugated Fill'!$C$12))-32)/1.8/((((C269+0.1*'Cooling Tower &amp; Corrugated Fill'!$C$12))-32)/1.8+243.04))))*(1061+0.444*((C269+0.1*'Cooling Tower &amp; Corrugated Fill'!$C$12))))-('Merkel Solver'!$C$4+'Cooling Tower &amp; Corrugated Fill'!$C$13*0.1*'Cooling Tower &amp; Corrugated Fill'!$C$12)</f>
        <v/>
      </c>
      <c r="E269" s="14">
        <f>(0.24*((C269+0.4*'Cooling Tower &amp; Corrugated Fill'!$C$12))+0.62198*(0.61094*EXP(17.625*(((C269+0.4*'Cooling Tower &amp; Corrugated Fill'!$C$12))-32)/1.8/((((C269+0.4*'Cooling Tower &amp; Corrugated Fill'!$C$12))-32)/1.8+243.04)))/('Cooling Tower &amp; Corrugated Fill'!$C$14-(0.61094*EXP(17.625*(((C269+0.4*'Cooling Tower &amp; Corrugated Fill'!$C$12))-32)/1.8/((((C269+0.4*'Cooling Tower &amp; Corrugated Fill'!$C$12))-32)/1.8+243.04))))*(1061+0.444*((C269+0.4*'Cooling Tower &amp; Corrugated Fill'!$C$12))))-('Merkel Solver'!$C$4+'Cooling Tower &amp; Corrugated Fill'!$C$13*0.4*'Cooling Tower &amp; Corrugated Fill'!$C$12)</f>
        <v/>
      </c>
      <c r="F269" s="14">
        <f>(0.24*((C269+0.6*'Cooling Tower &amp; Corrugated Fill'!$C$12))+0.62198*(0.61094*EXP(17.625*(((C269+0.6*'Cooling Tower &amp; Corrugated Fill'!$C$12))-32)/1.8/((((C269+0.6*'Cooling Tower &amp; Corrugated Fill'!$C$12))-32)/1.8+243.04)))/('Cooling Tower &amp; Corrugated Fill'!$C$14-(0.61094*EXP(17.625*(((C269+0.6*'Cooling Tower &amp; Corrugated Fill'!$C$12))-32)/1.8/((((C269+0.6*'Cooling Tower &amp; Corrugated Fill'!$C$12))-32)/1.8+243.04))))*(1061+0.444*((C269+0.6*'Cooling Tower &amp; Corrugated Fill'!$C$12))))-('Merkel Solver'!$C$4+'Cooling Tower &amp; Corrugated Fill'!$C$13*0.6*'Cooling Tower &amp; Corrugated Fill'!$C$12)</f>
        <v/>
      </c>
      <c r="G269" s="14">
        <f>(0.24*((C269+0.9*'Cooling Tower &amp; Corrugated Fill'!$C$12))+0.62198*(0.61094*EXP(17.625*(((C269+0.9*'Cooling Tower &amp; Corrugated Fill'!$C$12))-32)/1.8/((((C269+0.9*'Cooling Tower &amp; Corrugated Fill'!$C$12))-32)/1.8+243.04)))/('Cooling Tower &amp; Corrugated Fill'!$C$14-(0.61094*EXP(17.625*(((C269+0.9*'Cooling Tower &amp; Corrugated Fill'!$C$12))-32)/1.8/((((C269+0.9*'Cooling Tower &amp; Corrugated Fill'!$C$12))-32)/1.8+243.04))))*(1061+0.444*((C269+0.9*'Cooling Tower &amp; Corrugated Fill'!$C$12))))-('Merkel Solver'!$C$4+'Cooling Tower &amp; Corrugated Fill'!$C$13*0.9*'Cooling Tower &amp; Corrugated Fill'!$C$12)</f>
        <v/>
      </c>
      <c r="H269" s="22">
        <f>IF(MIN(D269:G269)&lt;=0,99999,'Cooling Tower &amp; Corrugated Fill'!$C$12/4*(1/D269+1/E269+1/F269+1/G269))</f>
        <v/>
      </c>
    </row>
    <row r="270">
      <c r="B270" s="30" t="n">
        <v>26.4</v>
      </c>
      <c r="C270" s="12">
        <f>'Dashboard'!$C$9+B270</f>
        <v/>
      </c>
      <c r="D270" s="14">
        <f>(0.24*((C270+0.1*'Cooling Tower &amp; Corrugated Fill'!$C$12))+0.62198*(0.61094*EXP(17.625*(((C270+0.1*'Cooling Tower &amp; Corrugated Fill'!$C$12))-32)/1.8/((((C270+0.1*'Cooling Tower &amp; Corrugated Fill'!$C$12))-32)/1.8+243.04)))/('Cooling Tower &amp; Corrugated Fill'!$C$14-(0.61094*EXP(17.625*(((C270+0.1*'Cooling Tower &amp; Corrugated Fill'!$C$12))-32)/1.8/((((C270+0.1*'Cooling Tower &amp; Corrugated Fill'!$C$12))-32)/1.8+243.04))))*(1061+0.444*((C270+0.1*'Cooling Tower &amp; Corrugated Fill'!$C$12))))-('Merkel Solver'!$C$4+'Cooling Tower &amp; Corrugated Fill'!$C$13*0.1*'Cooling Tower &amp; Corrugated Fill'!$C$12)</f>
        <v/>
      </c>
      <c r="E270" s="14">
        <f>(0.24*((C270+0.4*'Cooling Tower &amp; Corrugated Fill'!$C$12))+0.62198*(0.61094*EXP(17.625*(((C270+0.4*'Cooling Tower &amp; Corrugated Fill'!$C$12))-32)/1.8/((((C270+0.4*'Cooling Tower &amp; Corrugated Fill'!$C$12))-32)/1.8+243.04)))/('Cooling Tower &amp; Corrugated Fill'!$C$14-(0.61094*EXP(17.625*(((C270+0.4*'Cooling Tower &amp; Corrugated Fill'!$C$12))-32)/1.8/((((C270+0.4*'Cooling Tower &amp; Corrugated Fill'!$C$12))-32)/1.8+243.04))))*(1061+0.444*((C270+0.4*'Cooling Tower &amp; Corrugated Fill'!$C$12))))-('Merkel Solver'!$C$4+'Cooling Tower &amp; Corrugated Fill'!$C$13*0.4*'Cooling Tower &amp; Corrugated Fill'!$C$12)</f>
        <v/>
      </c>
      <c r="F270" s="14">
        <f>(0.24*((C270+0.6*'Cooling Tower &amp; Corrugated Fill'!$C$12))+0.62198*(0.61094*EXP(17.625*(((C270+0.6*'Cooling Tower &amp; Corrugated Fill'!$C$12))-32)/1.8/((((C270+0.6*'Cooling Tower &amp; Corrugated Fill'!$C$12))-32)/1.8+243.04)))/('Cooling Tower &amp; Corrugated Fill'!$C$14-(0.61094*EXP(17.625*(((C270+0.6*'Cooling Tower &amp; Corrugated Fill'!$C$12))-32)/1.8/((((C270+0.6*'Cooling Tower &amp; Corrugated Fill'!$C$12))-32)/1.8+243.04))))*(1061+0.444*((C270+0.6*'Cooling Tower &amp; Corrugated Fill'!$C$12))))-('Merkel Solver'!$C$4+'Cooling Tower &amp; Corrugated Fill'!$C$13*0.6*'Cooling Tower &amp; Corrugated Fill'!$C$12)</f>
        <v/>
      </c>
      <c r="G270" s="14">
        <f>(0.24*((C270+0.9*'Cooling Tower &amp; Corrugated Fill'!$C$12))+0.62198*(0.61094*EXP(17.625*(((C270+0.9*'Cooling Tower &amp; Corrugated Fill'!$C$12))-32)/1.8/((((C270+0.9*'Cooling Tower &amp; Corrugated Fill'!$C$12))-32)/1.8+243.04)))/('Cooling Tower &amp; Corrugated Fill'!$C$14-(0.61094*EXP(17.625*(((C270+0.9*'Cooling Tower &amp; Corrugated Fill'!$C$12))-32)/1.8/((((C270+0.9*'Cooling Tower &amp; Corrugated Fill'!$C$12))-32)/1.8+243.04))))*(1061+0.444*((C270+0.9*'Cooling Tower &amp; Corrugated Fill'!$C$12))))-('Merkel Solver'!$C$4+'Cooling Tower &amp; Corrugated Fill'!$C$13*0.9*'Cooling Tower &amp; Corrugated Fill'!$C$12)</f>
        <v/>
      </c>
      <c r="H270" s="22">
        <f>IF(MIN(D270:G270)&lt;=0,99999,'Cooling Tower &amp; Corrugated Fill'!$C$12/4*(1/D270+1/E270+1/F270+1/G270))</f>
        <v/>
      </c>
    </row>
    <row r="271">
      <c r="B271" s="30" t="n">
        <v>26.5</v>
      </c>
      <c r="C271" s="12">
        <f>'Dashboard'!$C$9+B271</f>
        <v/>
      </c>
      <c r="D271" s="14">
        <f>(0.24*((C271+0.1*'Cooling Tower &amp; Corrugated Fill'!$C$12))+0.62198*(0.61094*EXP(17.625*(((C271+0.1*'Cooling Tower &amp; Corrugated Fill'!$C$12))-32)/1.8/((((C271+0.1*'Cooling Tower &amp; Corrugated Fill'!$C$12))-32)/1.8+243.04)))/('Cooling Tower &amp; Corrugated Fill'!$C$14-(0.61094*EXP(17.625*(((C271+0.1*'Cooling Tower &amp; Corrugated Fill'!$C$12))-32)/1.8/((((C271+0.1*'Cooling Tower &amp; Corrugated Fill'!$C$12))-32)/1.8+243.04))))*(1061+0.444*((C271+0.1*'Cooling Tower &amp; Corrugated Fill'!$C$12))))-('Merkel Solver'!$C$4+'Cooling Tower &amp; Corrugated Fill'!$C$13*0.1*'Cooling Tower &amp; Corrugated Fill'!$C$12)</f>
        <v/>
      </c>
      <c r="E271" s="14">
        <f>(0.24*((C271+0.4*'Cooling Tower &amp; Corrugated Fill'!$C$12))+0.62198*(0.61094*EXP(17.625*(((C271+0.4*'Cooling Tower &amp; Corrugated Fill'!$C$12))-32)/1.8/((((C271+0.4*'Cooling Tower &amp; Corrugated Fill'!$C$12))-32)/1.8+243.04)))/('Cooling Tower &amp; Corrugated Fill'!$C$14-(0.61094*EXP(17.625*(((C271+0.4*'Cooling Tower &amp; Corrugated Fill'!$C$12))-32)/1.8/((((C271+0.4*'Cooling Tower &amp; Corrugated Fill'!$C$12))-32)/1.8+243.04))))*(1061+0.444*((C271+0.4*'Cooling Tower &amp; Corrugated Fill'!$C$12))))-('Merkel Solver'!$C$4+'Cooling Tower &amp; Corrugated Fill'!$C$13*0.4*'Cooling Tower &amp; Corrugated Fill'!$C$12)</f>
        <v/>
      </c>
      <c r="F271" s="14">
        <f>(0.24*((C271+0.6*'Cooling Tower &amp; Corrugated Fill'!$C$12))+0.62198*(0.61094*EXP(17.625*(((C271+0.6*'Cooling Tower &amp; Corrugated Fill'!$C$12))-32)/1.8/((((C271+0.6*'Cooling Tower &amp; Corrugated Fill'!$C$12))-32)/1.8+243.04)))/('Cooling Tower &amp; Corrugated Fill'!$C$14-(0.61094*EXP(17.625*(((C271+0.6*'Cooling Tower &amp; Corrugated Fill'!$C$12))-32)/1.8/((((C271+0.6*'Cooling Tower &amp; Corrugated Fill'!$C$12))-32)/1.8+243.04))))*(1061+0.444*((C271+0.6*'Cooling Tower &amp; Corrugated Fill'!$C$12))))-('Merkel Solver'!$C$4+'Cooling Tower &amp; Corrugated Fill'!$C$13*0.6*'Cooling Tower &amp; Corrugated Fill'!$C$12)</f>
        <v/>
      </c>
      <c r="G271" s="14">
        <f>(0.24*((C271+0.9*'Cooling Tower &amp; Corrugated Fill'!$C$12))+0.62198*(0.61094*EXP(17.625*(((C271+0.9*'Cooling Tower &amp; Corrugated Fill'!$C$12))-32)/1.8/((((C271+0.9*'Cooling Tower &amp; Corrugated Fill'!$C$12))-32)/1.8+243.04)))/('Cooling Tower &amp; Corrugated Fill'!$C$14-(0.61094*EXP(17.625*(((C271+0.9*'Cooling Tower &amp; Corrugated Fill'!$C$12))-32)/1.8/((((C271+0.9*'Cooling Tower &amp; Corrugated Fill'!$C$12))-32)/1.8+243.04))))*(1061+0.444*((C271+0.9*'Cooling Tower &amp; Corrugated Fill'!$C$12))))-('Merkel Solver'!$C$4+'Cooling Tower &amp; Corrugated Fill'!$C$13*0.9*'Cooling Tower &amp; Corrugated Fill'!$C$12)</f>
        <v/>
      </c>
      <c r="H271" s="22">
        <f>IF(MIN(D271:G271)&lt;=0,99999,'Cooling Tower &amp; Corrugated Fill'!$C$12/4*(1/D271+1/E271+1/F271+1/G271))</f>
        <v/>
      </c>
    </row>
    <row r="272">
      <c r="B272" s="30" t="n">
        <v>26.6</v>
      </c>
      <c r="C272" s="12">
        <f>'Dashboard'!$C$9+B272</f>
        <v/>
      </c>
      <c r="D272" s="14">
        <f>(0.24*((C272+0.1*'Cooling Tower &amp; Corrugated Fill'!$C$12))+0.62198*(0.61094*EXP(17.625*(((C272+0.1*'Cooling Tower &amp; Corrugated Fill'!$C$12))-32)/1.8/((((C272+0.1*'Cooling Tower &amp; Corrugated Fill'!$C$12))-32)/1.8+243.04)))/('Cooling Tower &amp; Corrugated Fill'!$C$14-(0.61094*EXP(17.625*(((C272+0.1*'Cooling Tower &amp; Corrugated Fill'!$C$12))-32)/1.8/((((C272+0.1*'Cooling Tower &amp; Corrugated Fill'!$C$12))-32)/1.8+243.04))))*(1061+0.444*((C272+0.1*'Cooling Tower &amp; Corrugated Fill'!$C$12))))-('Merkel Solver'!$C$4+'Cooling Tower &amp; Corrugated Fill'!$C$13*0.1*'Cooling Tower &amp; Corrugated Fill'!$C$12)</f>
        <v/>
      </c>
      <c r="E272" s="14">
        <f>(0.24*((C272+0.4*'Cooling Tower &amp; Corrugated Fill'!$C$12))+0.62198*(0.61094*EXP(17.625*(((C272+0.4*'Cooling Tower &amp; Corrugated Fill'!$C$12))-32)/1.8/((((C272+0.4*'Cooling Tower &amp; Corrugated Fill'!$C$12))-32)/1.8+243.04)))/('Cooling Tower &amp; Corrugated Fill'!$C$14-(0.61094*EXP(17.625*(((C272+0.4*'Cooling Tower &amp; Corrugated Fill'!$C$12))-32)/1.8/((((C272+0.4*'Cooling Tower &amp; Corrugated Fill'!$C$12))-32)/1.8+243.04))))*(1061+0.444*((C272+0.4*'Cooling Tower &amp; Corrugated Fill'!$C$12))))-('Merkel Solver'!$C$4+'Cooling Tower &amp; Corrugated Fill'!$C$13*0.4*'Cooling Tower &amp; Corrugated Fill'!$C$12)</f>
        <v/>
      </c>
      <c r="F272" s="14">
        <f>(0.24*((C272+0.6*'Cooling Tower &amp; Corrugated Fill'!$C$12))+0.62198*(0.61094*EXP(17.625*(((C272+0.6*'Cooling Tower &amp; Corrugated Fill'!$C$12))-32)/1.8/((((C272+0.6*'Cooling Tower &amp; Corrugated Fill'!$C$12))-32)/1.8+243.04)))/('Cooling Tower &amp; Corrugated Fill'!$C$14-(0.61094*EXP(17.625*(((C272+0.6*'Cooling Tower &amp; Corrugated Fill'!$C$12))-32)/1.8/((((C272+0.6*'Cooling Tower &amp; Corrugated Fill'!$C$12))-32)/1.8+243.04))))*(1061+0.444*((C272+0.6*'Cooling Tower &amp; Corrugated Fill'!$C$12))))-('Merkel Solver'!$C$4+'Cooling Tower &amp; Corrugated Fill'!$C$13*0.6*'Cooling Tower &amp; Corrugated Fill'!$C$12)</f>
        <v/>
      </c>
      <c r="G272" s="14">
        <f>(0.24*((C272+0.9*'Cooling Tower &amp; Corrugated Fill'!$C$12))+0.62198*(0.61094*EXP(17.625*(((C272+0.9*'Cooling Tower &amp; Corrugated Fill'!$C$12))-32)/1.8/((((C272+0.9*'Cooling Tower &amp; Corrugated Fill'!$C$12))-32)/1.8+243.04)))/('Cooling Tower &amp; Corrugated Fill'!$C$14-(0.61094*EXP(17.625*(((C272+0.9*'Cooling Tower &amp; Corrugated Fill'!$C$12))-32)/1.8/((((C272+0.9*'Cooling Tower &amp; Corrugated Fill'!$C$12))-32)/1.8+243.04))))*(1061+0.444*((C272+0.9*'Cooling Tower &amp; Corrugated Fill'!$C$12))))-('Merkel Solver'!$C$4+'Cooling Tower &amp; Corrugated Fill'!$C$13*0.9*'Cooling Tower &amp; Corrugated Fill'!$C$12)</f>
        <v/>
      </c>
      <c r="H272" s="22">
        <f>IF(MIN(D272:G272)&lt;=0,99999,'Cooling Tower &amp; Corrugated Fill'!$C$12/4*(1/D272+1/E272+1/F272+1/G272))</f>
        <v/>
      </c>
    </row>
    <row r="273">
      <c r="B273" s="30" t="n">
        <v>26.7</v>
      </c>
      <c r="C273" s="12">
        <f>'Dashboard'!$C$9+B273</f>
        <v/>
      </c>
      <c r="D273" s="14">
        <f>(0.24*((C273+0.1*'Cooling Tower &amp; Corrugated Fill'!$C$12))+0.62198*(0.61094*EXP(17.625*(((C273+0.1*'Cooling Tower &amp; Corrugated Fill'!$C$12))-32)/1.8/((((C273+0.1*'Cooling Tower &amp; Corrugated Fill'!$C$12))-32)/1.8+243.04)))/('Cooling Tower &amp; Corrugated Fill'!$C$14-(0.61094*EXP(17.625*(((C273+0.1*'Cooling Tower &amp; Corrugated Fill'!$C$12))-32)/1.8/((((C273+0.1*'Cooling Tower &amp; Corrugated Fill'!$C$12))-32)/1.8+243.04))))*(1061+0.444*((C273+0.1*'Cooling Tower &amp; Corrugated Fill'!$C$12))))-('Merkel Solver'!$C$4+'Cooling Tower &amp; Corrugated Fill'!$C$13*0.1*'Cooling Tower &amp; Corrugated Fill'!$C$12)</f>
        <v/>
      </c>
      <c r="E273" s="14">
        <f>(0.24*((C273+0.4*'Cooling Tower &amp; Corrugated Fill'!$C$12))+0.62198*(0.61094*EXP(17.625*(((C273+0.4*'Cooling Tower &amp; Corrugated Fill'!$C$12))-32)/1.8/((((C273+0.4*'Cooling Tower &amp; Corrugated Fill'!$C$12))-32)/1.8+243.04)))/('Cooling Tower &amp; Corrugated Fill'!$C$14-(0.61094*EXP(17.625*(((C273+0.4*'Cooling Tower &amp; Corrugated Fill'!$C$12))-32)/1.8/((((C273+0.4*'Cooling Tower &amp; Corrugated Fill'!$C$12))-32)/1.8+243.04))))*(1061+0.444*((C273+0.4*'Cooling Tower &amp; Corrugated Fill'!$C$12))))-('Merkel Solver'!$C$4+'Cooling Tower &amp; Corrugated Fill'!$C$13*0.4*'Cooling Tower &amp; Corrugated Fill'!$C$12)</f>
        <v/>
      </c>
      <c r="F273" s="14">
        <f>(0.24*((C273+0.6*'Cooling Tower &amp; Corrugated Fill'!$C$12))+0.62198*(0.61094*EXP(17.625*(((C273+0.6*'Cooling Tower &amp; Corrugated Fill'!$C$12))-32)/1.8/((((C273+0.6*'Cooling Tower &amp; Corrugated Fill'!$C$12))-32)/1.8+243.04)))/('Cooling Tower &amp; Corrugated Fill'!$C$14-(0.61094*EXP(17.625*(((C273+0.6*'Cooling Tower &amp; Corrugated Fill'!$C$12))-32)/1.8/((((C273+0.6*'Cooling Tower &amp; Corrugated Fill'!$C$12))-32)/1.8+243.04))))*(1061+0.444*((C273+0.6*'Cooling Tower &amp; Corrugated Fill'!$C$12))))-('Merkel Solver'!$C$4+'Cooling Tower &amp; Corrugated Fill'!$C$13*0.6*'Cooling Tower &amp; Corrugated Fill'!$C$12)</f>
        <v/>
      </c>
      <c r="G273" s="14">
        <f>(0.24*((C273+0.9*'Cooling Tower &amp; Corrugated Fill'!$C$12))+0.62198*(0.61094*EXP(17.625*(((C273+0.9*'Cooling Tower &amp; Corrugated Fill'!$C$12))-32)/1.8/((((C273+0.9*'Cooling Tower &amp; Corrugated Fill'!$C$12))-32)/1.8+243.04)))/('Cooling Tower &amp; Corrugated Fill'!$C$14-(0.61094*EXP(17.625*(((C273+0.9*'Cooling Tower &amp; Corrugated Fill'!$C$12))-32)/1.8/((((C273+0.9*'Cooling Tower &amp; Corrugated Fill'!$C$12))-32)/1.8+243.04))))*(1061+0.444*((C273+0.9*'Cooling Tower &amp; Corrugated Fill'!$C$12))))-('Merkel Solver'!$C$4+'Cooling Tower &amp; Corrugated Fill'!$C$13*0.9*'Cooling Tower &amp; Corrugated Fill'!$C$12)</f>
        <v/>
      </c>
      <c r="H273" s="22">
        <f>IF(MIN(D273:G273)&lt;=0,99999,'Cooling Tower &amp; Corrugated Fill'!$C$12/4*(1/D273+1/E273+1/F273+1/G273))</f>
        <v/>
      </c>
    </row>
    <row r="274">
      <c r="B274" s="30" t="n">
        <v>26.8</v>
      </c>
      <c r="C274" s="12">
        <f>'Dashboard'!$C$9+B274</f>
        <v/>
      </c>
      <c r="D274" s="14">
        <f>(0.24*((C274+0.1*'Cooling Tower &amp; Corrugated Fill'!$C$12))+0.62198*(0.61094*EXP(17.625*(((C274+0.1*'Cooling Tower &amp; Corrugated Fill'!$C$12))-32)/1.8/((((C274+0.1*'Cooling Tower &amp; Corrugated Fill'!$C$12))-32)/1.8+243.04)))/('Cooling Tower &amp; Corrugated Fill'!$C$14-(0.61094*EXP(17.625*(((C274+0.1*'Cooling Tower &amp; Corrugated Fill'!$C$12))-32)/1.8/((((C274+0.1*'Cooling Tower &amp; Corrugated Fill'!$C$12))-32)/1.8+243.04))))*(1061+0.444*((C274+0.1*'Cooling Tower &amp; Corrugated Fill'!$C$12))))-('Merkel Solver'!$C$4+'Cooling Tower &amp; Corrugated Fill'!$C$13*0.1*'Cooling Tower &amp; Corrugated Fill'!$C$12)</f>
        <v/>
      </c>
      <c r="E274" s="14">
        <f>(0.24*((C274+0.4*'Cooling Tower &amp; Corrugated Fill'!$C$12))+0.62198*(0.61094*EXP(17.625*(((C274+0.4*'Cooling Tower &amp; Corrugated Fill'!$C$12))-32)/1.8/((((C274+0.4*'Cooling Tower &amp; Corrugated Fill'!$C$12))-32)/1.8+243.04)))/('Cooling Tower &amp; Corrugated Fill'!$C$14-(0.61094*EXP(17.625*(((C274+0.4*'Cooling Tower &amp; Corrugated Fill'!$C$12))-32)/1.8/((((C274+0.4*'Cooling Tower &amp; Corrugated Fill'!$C$12))-32)/1.8+243.04))))*(1061+0.444*((C274+0.4*'Cooling Tower &amp; Corrugated Fill'!$C$12))))-('Merkel Solver'!$C$4+'Cooling Tower &amp; Corrugated Fill'!$C$13*0.4*'Cooling Tower &amp; Corrugated Fill'!$C$12)</f>
        <v/>
      </c>
      <c r="F274" s="14">
        <f>(0.24*((C274+0.6*'Cooling Tower &amp; Corrugated Fill'!$C$12))+0.62198*(0.61094*EXP(17.625*(((C274+0.6*'Cooling Tower &amp; Corrugated Fill'!$C$12))-32)/1.8/((((C274+0.6*'Cooling Tower &amp; Corrugated Fill'!$C$12))-32)/1.8+243.04)))/('Cooling Tower &amp; Corrugated Fill'!$C$14-(0.61094*EXP(17.625*(((C274+0.6*'Cooling Tower &amp; Corrugated Fill'!$C$12))-32)/1.8/((((C274+0.6*'Cooling Tower &amp; Corrugated Fill'!$C$12))-32)/1.8+243.04))))*(1061+0.444*((C274+0.6*'Cooling Tower &amp; Corrugated Fill'!$C$12))))-('Merkel Solver'!$C$4+'Cooling Tower &amp; Corrugated Fill'!$C$13*0.6*'Cooling Tower &amp; Corrugated Fill'!$C$12)</f>
        <v/>
      </c>
      <c r="G274" s="14">
        <f>(0.24*((C274+0.9*'Cooling Tower &amp; Corrugated Fill'!$C$12))+0.62198*(0.61094*EXP(17.625*(((C274+0.9*'Cooling Tower &amp; Corrugated Fill'!$C$12))-32)/1.8/((((C274+0.9*'Cooling Tower &amp; Corrugated Fill'!$C$12))-32)/1.8+243.04)))/('Cooling Tower &amp; Corrugated Fill'!$C$14-(0.61094*EXP(17.625*(((C274+0.9*'Cooling Tower &amp; Corrugated Fill'!$C$12))-32)/1.8/((((C274+0.9*'Cooling Tower &amp; Corrugated Fill'!$C$12))-32)/1.8+243.04))))*(1061+0.444*((C274+0.9*'Cooling Tower &amp; Corrugated Fill'!$C$12))))-('Merkel Solver'!$C$4+'Cooling Tower &amp; Corrugated Fill'!$C$13*0.9*'Cooling Tower &amp; Corrugated Fill'!$C$12)</f>
        <v/>
      </c>
      <c r="H274" s="22">
        <f>IF(MIN(D274:G274)&lt;=0,99999,'Cooling Tower &amp; Corrugated Fill'!$C$12/4*(1/D274+1/E274+1/F274+1/G274))</f>
        <v/>
      </c>
    </row>
    <row r="275">
      <c r="B275" s="30" t="n">
        <v>26.9</v>
      </c>
      <c r="C275" s="12">
        <f>'Dashboard'!$C$9+B275</f>
        <v/>
      </c>
      <c r="D275" s="14">
        <f>(0.24*((C275+0.1*'Cooling Tower &amp; Corrugated Fill'!$C$12))+0.62198*(0.61094*EXP(17.625*(((C275+0.1*'Cooling Tower &amp; Corrugated Fill'!$C$12))-32)/1.8/((((C275+0.1*'Cooling Tower &amp; Corrugated Fill'!$C$12))-32)/1.8+243.04)))/('Cooling Tower &amp; Corrugated Fill'!$C$14-(0.61094*EXP(17.625*(((C275+0.1*'Cooling Tower &amp; Corrugated Fill'!$C$12))-32)/1.8/((((C275+0.1*'Cooling Tower &amp; Corrugated Fill'!$C$12))-32)/1.8+243.04))))*(1061+0.444*((C275+0.1*'Cooling Tower &amp; Corrugated Fill'!$C$12))))-('Merkel Solver'!$C$4+'Cooling Tower &amp; Corrugated Fill'!$C$13*0.1*'Cooling Tower &amp; Corrugated Fill'!$C$12)</f>
        <v/>
      </c>
      <c r="E275" s="14">
        <f>(0.24*((C275+0.4*'Cooling Tower &amp; Corrugated Fill'!$C$12))+0.62198*(0.61094*EXP(17.625*(((C275+0.4*'Cooling Tower &amp; Corrugated Fill'!$C$12))-32)/1.8/((((C275+0.4*'Cooling Tower &amp; Corrugated Fill'!$C$12))-32)/1.8+243.04)))/('Cooling Tower &amp; Corrugated Fill'!$C$14-(0.61094*EXP(17.625*(((C275+0.4*'Cooling Tower &amp; Corrugated Fill'!$C$12))-32)/1.8/((((C275+0.4*'Cooling Tower &amp; Corrugated Fill'!$C$12))-32)/1.8+243.04))))*(1061+0.444*((C275+0.4*'Cooling Tower &amp; Corrugated Fill'!$C$12))))-('Merkel Solver'!$C$4+'Cooling Tower &amp; Corrugated Fill'!$C$13*0.4*'Cooling Tower &amp; Corrugated Fill'!$C$12)</f>
        <v/>
      </c>
      <c r="F275" s="14">
        <f>(0.24*((C275+0.6*'Cooling Tower &amp; Corrugated Fill'!$C$12))+0.62198*(0.61094*EXP(17.625*(((C275+0.6*'Cooling Tower &amp; Corrugated Fill'!$C$12))-32)/1.8/((((C275+0.6*'Cooling Tower &amp; Corrugated Fill'!$C$12))-32)/1.8+243.04)))/('Cooling Tower &amp; Corrugated Fill'!$C$14-(0.61094*EXP(17.625*(((C275+0.6*'Cooling Tower &amp; Corrugated Fill'!$C$12))-32)/1.8/((((C275+0.6*'Cooling Tower &amp; Corrugated Fill'!$C$12))-32)/1.8+243.04))))*(1061+0.444*((C275+0.6*'Cooling Tower &amp; Corrugated Fill'!$C$12))))-('Merkel Solver'!$C$4+'Cooling Tower &amp; Corrugated Fill'!$C$13*0.6*'Cooling Tower &amp; Corrugated Fill'!$C$12)</f>
        <v/>
      </c>
      <c r="G275" s="14">
        <f>(0.24*((C275+0.9*'Cooling Tower &amp; Corrugated Fill'!$C$12))+0.62198*(0.61094*EXP(17.625*(((C275+0.9*'Cooling Tower &amp; Corrugated Fill'!$C$12))-32)/1.8/((((C275+0.9*'Cooling Tower &amp; Corrugated Fill'!$C$12))-32)/1.8+243.04)))/('Cooling Tower &amp; Corrugated Fill'!$C$14-(0.61094*EXP(17.625*(((C275+0.9*'Cooling Tower &amp; Corrugated Fill'!$C$12))-32)/1.8/((((C275+0.9*'Cooling Tower &amp; Corrugated Fill'!$C$12))-32)/1.8+243.04))))*(1061+0.444*((C275+0.9*'Cooling Tower &amp; Corrugated Fill'!$C$12))))-('Merkel Solver'!$C$4+'Cooling Tower &amp; Corrugated Fill'!$C$13*0.9*'Cooling Tower &amp; Corrugated Fill'!$C$12)</f>
        <v/>
      </c>
      <c r="H275" s="22">
        <f>IF(MIN(D275:G275)&lt;=0,99999,'Cooling Tower &amp; Corrugated Fill'!$C$12/4*(1/D275+1/E275+1/F275+1/G275))</f>
        <v/>
      </c>
    </row>
    <row r="276">
      <c r="B276" s="30" t="n">
        <v>27</v>
      </c>
      <c r="C276" s="12">
        <f>'Dashboard'!$C$9+B276</f>
        <v/>
      </c>
      <c r="D276" s="14">
        <f>(0.24*((C276+0.1*'Cooling Tower &amp; Corrugated Fill'!$C$12))+0.62198*(0.61094*EXP(17.625*(((C276+0.1*'Cooling Tower &amp; Corrugated Fill'!$C$12))-32)/1.8/((((C276+0.1*'Cooling Tower &amp; Corrugated Fill'!$C$12))-32)/1.8+243.04)))/('Cooling Tower &amp; Corrugated Fill'!$C$14-(0.61094*EXP(17.625*(((C276+0.1*'Cooling Tower &amp; Corrugated Fill'!$C$12))-32)/1.8/((((C276+0.1*'Cooling Tower &amp; Corrugated Fill'!$C$12))-32)/1.8+243.04))))*(1061+0.444*((C276+0.1*'Cooling Tower &amp; Corrugated Fill'!$C$12))))-('Merkel Solver'!$C$4+'Cooling Tower &amp; Corrugated Fill'!$C$13*0.1*'Cooling Tower &amp; Corrugated Fill'!$C$12)</f>
        <v/>
      </c>
      <c r="E276" s="14">
        <f>(0.24*((C276+0.4*'Cooling Tower &amp; Corrugated Fill'!$C$12))+0.62198*(0.61094*EXP(17.625*(((C276+0.4*'Cooling Tower &amp; Corrugated Fill'!$C$12))-32)/1.8/((((C276+0.4*'Cooling Tower &amp; Corrugated Fill'!$C$12))-32)/1.8+243.04)))/('Cooling Tower &amp; Corrugated Fill'!$C$14-(0.61094*EXP(17.625*(((C276+0.4*'Cooling Tower &amp; Corrugated Fill'!$C$12))-32)/1.8/((((C276+0.4*'Cooling Tower &amp; Corrugated Fill'!$C$12))-32)/1.8+243.04))))*(1061+0.444*((C276+0.4*'Cooling Tower &amp; Corrugated Fill'!$C$12))))-('Merkel Solver'!$C$4+'Cooling Tower &amp; Corrugated Fill'!$C$13*0.4*'Cooling Tower &amp; Corrugated Fill'!$C$12)</f>
        <v/>
      </c>
      <c r="F276" s="14">
        <f>(0.24*((C276+0.6*'Cooling Tower &amp; Corrugated Fill'!$C$12))+0.62198*(0.61094*EXP(17.625*(((C276+0.6*'Cooling Tower &amp; Corrugated Fill'!$C$12))-32)/1.8/((((C276+0.6*'Cooling Tower &amp; Corrugated Fill'!$C$12))-32)/1.8+243.04)))/('Cooling Tower &amp; Corrugated Fill'!$C$14-(0.61094*EXP(17.625*(((C276+0.6*'Cooling Tower &amp; Corrugated Fill'!$C$12))-32)/1.8/((((C276+0.6*'Cooling Tower &amp; Corrugated Fill'!$C$12))-32)/1.8+243.04))))*(1061+0.444*((C276+0.6*'Cooling Tower &amp; Corrugated Fill'!$C$12))))-('Merkel Solver'!$C$4+'Cooling Tower &amp; Corrugated Fill'!$C$13*0.6*'Cooling Tower &amp; Corrugated Fill'!$C$12)</f>
        <v/>
      </c>
      <c r="G276" s="14">
        <f>(0.24*((C276+0.9*'Cooling Tower &amp; Corrugated Fill'!$C$12))+0.62198*(0.61094*EXP(17.625*(((C276+0.9*'Cooling Tower &amp; Corrugated Fill'!$C$12))-32)/1.8/((((C276+0.9*'Cooling Tower &amp; Corrugated Fill'!$C$12))-32)/1.8+243.04)))/('Cooling Tower &amp; Corrugated Fill'!$C$14-(0.61094*EXP(17.625*(((C276+0.9*'Cooling Tower &amp; Corrugated Fill'!$C$12))-32)/1.8/((((C276+0.9*'Cooling Tower &amp; Corrugated Fill'!$C$12))-32)/1.8+243.04))))*(1061+0.444*((C276+0.9*'Cooling Tower &amp; Corrugated Fill'!$C$12))))-('Merkel Solver'!$C$4+'Cooling Tower &amp; Corrugated Fill'!$C$13*0.9*'Cooling Tower &amp; Corrugated Fill'!$C$12)</f>
        <v/>
      </c>
      <c r="H276" s="22">
        <f>IF(MIN(D276:G276)&lt;=0,99999,'Cooling Tower &amp; Corrugated Fill'!$C$12/4*(1/D276+1/E276+1/F276+1/G276))</f>
        <v/>
      </c>
    </row>
    <row r="277">
      <c r="B277" s="30" t="n">
        <v>27.1</v>
      </c>
      <c r="C277" s="12">
        <f>'Dashboard'!$C$9+B277</f>
        <v/>
      </c>
      <c r="D277" s="14">
        <f>(0.24*((C277+0.1*'Cooling Tower &amp; Corrugated Fill'!$C$12))+0.62198*(0.61094*EXP(17.625*(((C277+0.1*'Cooling Tower &amp; Corrugated Fill'!$C$12))-32)/1.8/((((C277+0.1*'Cooling Tower &amp; Corrugated Fill'!$C$12))-32)/1.8+243.04)))/('Cooling Tower &amp; Corrugated Fill'!$C$14-(0.61094*EXP(17.625*(((C277+0.1*'Cooling Tower &amp; Corrugated Fill'!$C$12))-32)/1.8/((((C277+0.1*'Cooling Tower &amp; Corrugated Fill'!$C$12))-32)/1.8+243.04))))*(1061+0.444*((C277+0.1*'Cooling Tower &amp; Corrugated Fill'!$C$12))))-('Merkel Solver'!$C$4+'Cooling Tower &amp; Corrugated Fill'!$C$13*0.1*'Cooling Tower &amp; Corrugated Fill'!$C$12)</f>
        <v/>
      </c>
      <c r="E277" s="14">
        <f>(0.24*((C277+0.4*'Cooling Tower &amp; Corrugated Fill'!$C$12))+0.62198*(0.61094*EXP(17.625*(((C277+0.4*'Cooling Tower &amp; Corrugated Fill'!$C$12))-32)/1.8/((((C277+0.4*'Cooling Tower &amp; Corrugated Fill'!$C$12))-32)/1.8+243.04)))/('Cooling Tower &amp; Corrugated Fill'!$C$14-(0.61094*EXP(17.625*(((C277+0.4*'Cooling Tower &amp; Corrugated Fill'!$C$12))-32)/1.8/((((C277+0.4*'Cooling Tower &amp; Corrugated Fill'!$C$12))-32)/1.8+243.04))))*(1061+0.444*((C277+0.4*'Cooling Tower &amp; Corrugated Fill'!$C$12))))-('Merkel Solver'!$C$4+'Cooling Tower &amp; Corrugated Fill'!$C$13*0.4*'Cooling Tower &amp; Corrugated Fill'!$C$12)</f>
        <v/>
      </c>
      <c r="F277" s="14">
        <f>(0.24*((C277+0.6*'Cooling Tower &amp; Corrugated Fill'!$C$12))+0.62198*(0.61094*EXP(17.625*(((C277+0.6*'Cooling Tower &amp; Corrugated Fill'!$C$12))-32)/1.8/((((C277+0.6*'Cooling Tower &amp; Corrugated Fill'!$C$12))-32)/1.8+243.04)))/('Cooling Tower &amp; Corrugated Fill'!$C$14-(0.61094*EXP(17.625*(((C277+0.6*'Cooling Tower &amp; Corrugated Fill'!$C$12))-32)/1.8/((((C277+0.6*'Cooling Tower &amp; Corrugated Fill'!$C$12))-32)/1.8+243.04))))*(1061+0.444*((C277+0.6*'Cooling Tower &amp; Corrugated Fill'!$C$12))))-('Merkel Solver'!$C$4+'Cooling Tower &amp; Corrugated Fill'!$C$13*0.6*'Cooling Tower &amp; Corrugated Fill'!$C$12)</f>
        <v/>
      </c>
      <c r="G277" s="14">
        <f>(0.24*((C277+0.9*'Cooling Tower &amp; Corrugated Fill'!$C$12))+0.62198*(0.61094*EXP(17.625*(((C277+0.9*'Cooling Tower &amp; Corrugated Fill'!$C$12))-32)/1.8/((((C277+0.9*'Cooling Tower &amp; Corrugated Fill'!$C$12))-32)/1.8+243.04)))/('Cooling Tower &amp; Corrugated Fill'!$C$14-(0.61094*EXP(17.625*(((C277+0.9*'Cooling Tower &amp; Corrugated Fill'!$C$12))-32)/1.8/((((C277+0.9*'Cooling Tower &amp; Corrugated Fill'!$C$12))-32)/1.8+243.04))))*(1061+0.444*((C277+0.9*'Cooling Tower &amp; Corrugated Fill'!$C$12))))-('Merkel Solver'!$C$4+'Cooling Tower &amp; Corrugated Fill'!$C$13*0.9*'Cooling Tower &amp; Corrugated Fill'!$C$12)</f>
        <v/>
      </c>
      <c r="H277" s="22">
        <f>IF(MIN(D277:G277)&lt;=0,99999,'Cooling Tower &amp; Corrugated Fill'!$C$12/4*(1/D277+1/E277+1/F277+1/G277))</f>
        <v/>
      </c>
    </row>
    <row r="278">
      <c r="B278" s="30" t="n">
        <v>27.2</v>
      </c>
      <c r="C278" s="12">
        <f>'Dashboard'!$C$9+B278</f>
        <v/>
      </c>
      <c r="D278" s="14">
        <f>(0.24*((C278+0.1*'Cooling Tower &amp; Corrugated Fill'!$C$12))+0.62198*(0.61094*EXP(17.625*(((C278+0.1*'Cooling Tower &amp; Corrugated Fill'!$C$12))-32)/1.8/((((C278+0.1*'Cooling Tower &amp; Corrugated Fill'!$C$12))-32)/1.8+243.04)))/('Cooling Tower &amp; Corrugated Fill'!$C$14-(0.61094*EXP(17.625*(((C278+0.1*'Cooling Tower &amp; Corrugated Fill'!$C$12))-32)/1.8/((((C278+0.1*'Cooling Tower &amp; Corrugated Fill'!$C$12))-32)/1.8+243.04))))*(1061+0.444*((C278+0.1*'Cooling Tower &amp; Corrugated Fill'!$C$12))))-('Merkel Solver'!$C$4+'Cooling Tower &amp; Corrugated Fill'!$C$13*0.1*'Cooling Tower &amp; Corrugated Fill'!$C$12)</f>
        <v/>
      </c>
      <c r="E278" s="14">
        <f>(0.24*((C278+0.4*'Cooling Tower &amp; Corrugated Fill'!$C$12))+0.62198*(0.61094*EXP(17.625*(((C278+0.4*'Cooling Tower &amp; Corrugated Fill'!$C$12))-32)/1.8/((((C278+0.4*'Cooling Tower &amp; Corrugated Fill'!$C$12))-32)/1.8+243.04)))/('Cooling Tower &amp; Corrugated Fill'!$C$14-(0.61094*EXP(17.625*(((C278+0.4*'Cooling Tower &amp; Corrugated Fill'!$C$12))-32)/1.8/((((C278+0.4*'Cooling Tower &amp; Corrugated Fill'!$C$12))-32)/1.8+243.04))))*(1061+0.444*((C278+0.4*'Cooling Tower &amp; Corrugated Fill'!$C$12))))-('Merkel Solver'!$C$4+'Cooling Tower &amp; Corrugated Fill'!$C$13*0.4*'Cooling Tower &amp; Corrugated Fill'!$C$12)</f>
        <v/>
      </c>
      <c r="F278" s="14">
        <f>(0.24*((C278+0.6*'Cooling Tower &amp; Corrugated Fill'!$C$12))+0.62198*(0.61094*EXP(17.625*(((C278+0.6*'Cooling Tower &amp; Corrugated Fill'!$C$12))-32)/1.8/((((C278+0.6*'Cooling Tower &amp; Corrugated Fill'!$C$12))-32)/1.8+243.04)))/('Cooling Tower &amp; Corrugated Fill'!$C$14-(0.61094*EXP(17.625*(((C278+0.6*'Cooling Tower &amp; Corrugated Fill'!$C$12))-32)/1.8/((((C278+0.6*'Cooling Tower &amp; Corrugated Fill'!$C$12))-32)/1.8+243.04))))*(1061+0.444*((C278+0.6*'Cooling Tower &amp; Corrugated Fill'!$C$12))))-('Merkel Solver'!$C$4+'Cooling Tower &amp; Corrugated Fill'!$C$13*0.6*'Cooling Tower &amp; Corrugated Fill'!$C$12)</f>
        <v/>
      </c>
      <c r="G278" s="14">
        <f>(0.24*((C278+0.9*'Cooling Tower &amp; Corrugated Fill'!$C$12))+0.62198*(0.61094*EXP(17.625*(((C278+0.9*'Cooling Tower &amp; Corrugated Fill'!$C$12))-32)/1.8/((((C278+0.9*'Cooling Tower &amp; Corrugated Fill'!$C$12))-32)/1.8+243.04)))/('Cooling Tower &amp; Corrugated Fill'!$C$14-(0.61094*EXP(17.625*(((C278+0.9*'Cooling Tower &amp; Corrugated Fill'!$C$12))-32)/1.8/((((C278+0.9*'Cooling Tower &amp; Corrugated Fill'!$C$12))-32)/1.8+243.04))))*(1061+0.444*((C278+0.9*'Cooling Tower &amp; Corrugated Fill'!$C$12))))-('Merkel Solver'!$C$4+'Cooling Tower &amp; Corrugated Fill'!$C$13*0.9*'Cooling Tower &amp; Corrugated Fill'!$C$12)</f>
        <v/>
      </c>
      <c r="H278" s="22">
        <f>IF(MIN(D278:G278)&lt;=0,99999,'Cooling Tower &amp; Corrugated Fill'!$C$12/4*(1/D278+1/E278+1/F278+1/G278))</f>
        <v/>
      </c>
    </row>
    <row r="279">
      <c r="B279" s="30" t="n">
        <v>27.3</v>
      </c>
      <c r="C279" s="12">
        <f>'Dashboard'!$C$9+B279</f>
        <v/>
      </c>
      <c r="D279" s="14">
        <f>(0.24*((C279+0.1*'Cooling Tower &amp; Corrugated Fill'!$C$12))+0.62198*(0.61094*EXP(17.625*(((C279+0.1*'Cooling Tower &amp; Corrugated Fill'!$C$12))-32)/1.8/((((C279+0.1*'Cooling Tower &amp; Corrugated Fill'!$C$12))-32)/1.8+243.04)))/('Cooling Tower &amp; Corrugated Fill'!$C$14-(0.61094*EXP(17.625*(((C279+0.1*'Cooling Tower &amp; Corrugated Fill'!$C$12))-32)/1.8/((((C279+0.1*'Cooling Tower &amp; Corrugated Fill'!$C$12))-32)/1.8+243.04))))*(1061+0.444*((C279+0.1*'Cooling Tower &amp; Corrugated Fill'!$C$12))))-('Merkel Solver'!$C$4+'Cooling Tower &amp; Corrugated Fill'!$C$13*0.1*'Cooling Tower &amp; Corrugated Fill'!$C$12)</f>
        <v/>
      </c>
      <c r="E279" s="14">
        <f>(0.24*((C279+0.4*'Cooling Tower &amp; Corrugated Fill'!$C$12))+0.62198*(0.61094*EXP(17.625*(((C279+0.4*'Cooling Tower &amp; Corrugated Fill'!$C$12))-32)/1.8/((((C279+0.4*'Cooling Tower &amp; Corrugated Fill'!$C$12))-32)/1.8+243.04)))/('Cooling Tower &amp; Corrugated Fill'!$C$14-(0.61094*EXP(17.625*(((C279+0.4*'Cooling Tower &amp; Corrugated Fill'!$C$12))-32)/1.8/((((C279+0.4*'Cooling Tower &amp; Corrugated Fill'!$C$12))-32)/1.8+243.04))))*(1061+0.444*((C279+0.4*'Cooling Tower &amp; Corrugated Fill'!$C$12))))-('Merkel Solver'!$C$4+'Cooling Tower &amp; Corrugated Fill'!$C$13*0.4*'Cooling Tower &amp; Corrugated Fill'!$C$12)</f>
        <v/>
      </c>
      <c r="F279" s="14">
        <f>(0.24*((C279+0.6*'Cooling Tower &amp; Corrugated Fill'!$C$12))+0.62198*(0.61094*EXP(17.625*(((C279+0.6*'Cooling Tower &amp; Corrugated Fill'!$C$12))-32)/1.8/((((C279+0.6*'Cooling Tower &amp; Corrugated Fill'!$C$12))-32)/1.8+243.04)))/('Cooling Tower &amp; Corrugated Fill'!$C$14-(0.61094*EXP(17.625*(((C279+0.6*'Cooling Tower &amp; Corrugated Fill'!$C$12))-32)/1.8/((((C279+0.6*'Cooling Tower &amp; Corrugated Fill'!$C$12))-32)/1.8+243.04))))*(1061+0.444*((C279+0.6*'Cooling Tower &amp; Corrugated Fill'!$C$12))))-('Merkel Solver'!$C$4+'Cooling Tower &amp; Corrugated Fill'!$C$13*0.6*'Cooling Tower &amp; Corrugated Fill'!$C$12)</f>
        <v/>
      </c>
      <c r="G279" s="14">
        <f>(0.24*((C279+0.9*'Cooling Tower &amp; Corrugated Fill'!$C$12))+0.62198*(0.61094*EXP(17.625*(((C279+0.9*'Cooling Tower &amp; Corrugated Fill'!$C$12))-32)/1.8/((((C279+0.9*'Cooling Tower &amp; Corrugated Fill'!$C$12))-32)/1.8+243.04)))/('Cooling Tower &amp; Corrugated Fill'!$C$14-(0.61094*EXP(17.625*(((C279+0.9*'Cooling Tower &amp; Corrugated Fill'!$C$12))-32)/1.8/((((C279+0.9*'Cooling Tower &amp; Corrugated Fill'!$C$12))-32)/1.8+243.04))))*(1061+0.444*((C279+0.9*'Cooling Tower &amp; Corrugated Fill'!$C$12))))-('Merkel Solver'!$C$4+'Cooling Tower &amp; Corrugated Fill'!$C$13*0.9*'Cooling Tower &amp; Corrugated Fill'!$C$12)</f>
        <v/>
      </c>
      <c r="H279" s="22">
        <f>IF(MIN(D279:G279)&lt;=0,99999,'Cooling Tower &amp; Corrugated Fill'!$C$12/4*(1/D279+1/E279+1/F279+1/G279))</f>
        <v/>
      </c>
    </row>
    <row r="280">
      <c r="B280" s="30" t="n">
        <v>27.4</v>
      </c>
      <c r="C280" s="12">
        <f>'Dashboard'!$C$9+B280</f>
        <v/>
      </c>
      <c r="D280" s="14">
        <f>(0.24*((C280+0.1*'Cooling Tower &amp; Corrugated Fill'!$C$12))+0.62198*(0.61094*EXP(17.625*(((C280+0.1*'Cooling Tower &amp; Corrugated Fill'!$C$12))-32)/1.8/((((C280+0.1*'Cooling Tower &amp; Corrugated Fill'!$C$12))-32)/1.8+243.04)))/('Cooling Tower &amp; Corrugated Fill'!$C$14-(0.61094*EXP(17.625*(((C280+0.1*'Cooling Tower &amp; Corrugated Fill'!$C$12))-32)/1.8/((((C280+0.1*'Cooling Tower &amp; Corrugated Fill'!$C$12))-32)/1.8+243.04))))*(1061+0.444*((C280+0.1*'Cooling Tower &amp; Corrugated Fill'!$C$12))))-('Merkel Solver'!$C$4+'Cooling Tower &amp; Corrugated Fill'!$C$13*0.1*'Cooling Tower &amp; Corrugated Fill'!$C$12)</f>
        <v/>
      </c>
      <c r="E280" s="14">
        <f>(0.24*((C280+0.4*'Cooling Tower &amp; Corrugated Fill'!$C$12))+0.62198*(0.61094*EXP(17.625*(((C280+0.4*'Cooling Tower &amp; Corrugated Fill'!$C$12))-32)/1.8/((((C280+0.4*'Cooling Tower &amp; Corrugated Fill'!$C$12))-32)/1.8+243.04)))/('Cooling Tower &amp; Corrugated Fill'!$C$14-(0.61094*EXP(17.625*(((C280+0.4*'Cooling Tower &amp; Corrugated Fill'!$C$12))-32)/1.8/((((C280+0.4*'Cooling Tower &amp; Corrugated Fill'!$C$12))-32)/1.8+243.04))))*(1061+0.444*((C280+0.4*'Cooling Tower &amp; Corrugated Fill'!$C$12))))-('Merkel Solver'!$C$4+'Cooling Tower &amp; Corrugated Fill'!$C$13*0.4*'Cooling Tower &amp; Corrugated Fill'!$C$12)</f>
        <v/>
      </c>
      <c r="F280" s="14">
        <f>(0.24*((C280+0.6*'Cooling Tower &amp; Corrugated Fill'!$C$12))+0.62198*(0.61094*EXP(17.625*(((C280+0.6*'Cooling Tower &amp; Corrugated Fill'!$C$12))-32)/1.8/((((C280+0.6*'Cooling Tower &amp; Corrugated Fill'!$C$12))-32)/1.8+243.04)))/('Cooling Tower &amp; Corrugated Fill'!$C$14-(0.61094*EXP(17.625*(((C280+0.6*'Cooling Tower &amp; Corrugated Fill'!$C$12))-32)/1.8/((((C280+0.6*'Cooling Tower &amp; Corrugated Fill'!$C$12))-32)/1.8+243.04))))*(1061+0.444*((C280+0.6*'Cooling Tower &amp; Corrugated Fill'!$C$12))))-('Merkel Solver'!$C$4+'Cooling Tower &amp; Corrugated Fill'!$C$13*0.6*'Cooling Tower &amp; Corrugated Fill'!$C$12)</f>
        <v/>
      </c>
      <c r="G280" s="14">
        <f>(0.24*((C280+0.9*'Cooling Tower &amp; Corrugated Fill'!$C$12))+0.62198*(0.61094*EXP(17.625*(((C280+0.9*'Cooling Tower &amp; Corrugated Fill'!$C$12))-32)/1.8/((((C280+0.9*'Cooling Tower &amp; Corrugated Fill'!$C$12))-32)/1.8+243.04)))/('Cooling Tower &amp; Corrugated Fill'!$C$14-(0.61094*EXP(17.625*(((C280+0.9*'Cooling Tower &amp; Corrugated Fill'!$C$12))-32)/1.8/((((C280+0.9*'Cooling Tower &amp; Corrugated Fill'!$C$12))-32)/1.8+243.04))))*(1061+0.444*((C280+0.9*'Cooling Tower &amp; Corrugated Fill'!$C$12))))-('Merkel Solver'!$C$4+'Cooling Tower &amp; Corrugated Fill'!$C$13*0.9*'Cooling Tower &amp; Corrugated Fill'!$C$12)</f>
        <v/>
      </c>
      <c r="H280" s="22">
        <f>IF(MIN(D280:G280)&lt;=0,99999,'Cooling Tower &amp; Corrugated Fill'!$C$12/4*(1/D280+1/E280+1/F280+1/G280))</f>
        <v/>
      </c>
    </row>
    <row r="281">
      <c r="B281" s="30" t="n">
        <v>27.5</v>
      </c>
      <c r="C281" s="12">
        <f>'Dashboard'!$C$9+B281</f>
        <v/>
      </c>
      <c r="D281" s="14">
        <f>(0.24*((C281+0.1*'Cooling Tower &amp; Corrugated Fill'!$C$12))+0.62198*(0.61094*EXP(17.625*(((C281+0.1*'Cooling Tower &amp; Corrugated Fill'!$C$12))-32)/1.8/((((C281+0.1*'Cooling Tower &amp; Corrugated Fill'!$C$12))-32)/1.8+243.04)))/('Cooling Tower &amp; Corrugated Fill'!$C$14-(0.61094*EXP(17.625*(((C281+0.1*'Cooling Tower &amp; Corrugated Fill'!$C$12))-32)/1.8/((((C281+0.1*'Cooling Tower &amp; Corrugated Fill'!$C$12))-32)/1.8+243.04))))*(1061+0.444*((C281+0.1*'Cooling Tower &amp; Corrugated Fill'!$C$12))))-('Merkel Solver'!$C$4+'Cooling Tower &amp; Corrugated Fill'!$C$13*0.1*'Cooling Tower &amp; Corrugated Fill'!$C$12)</f>
        <v/>
      </c>
      <c r="E281" s="14">
        <f>(0.24*((C281+0.4*'Cooling Tower &amp; Corrugated Fill'!$C$12))+0.62198*(0.61094*EXP(17.625*(((C281+0.4*'Cooling Tower &amp; Corrugated Fill'!$C$12))-32)/1.8/((((C281+0.4*'Cooling Tower &amp; Corrugated Fill'!$C$12))-32)/1.8+243.04)))/('Cooling Tower &amp; Corrugated Fill'!$C$14-(0.61094*EXP(17.625*(((C281+0.4*'Cooling Tower &amp; Corrugated Fill'!$C$12))-32)/1.8/((((C281+0.4*'Cooling Tower &amp; Corrugated Fill'!$C$12))-32)/1.8+243.04))))*(1061+0.444*((C281+0.4*'Cooling Tower &amp; Corrugated Fill'!$C$12))))-('Merkel Solver'!$C$4+'Cooling Tower &amp; Corrugated Fill'!$C$13*0.4*'Cooling Tower &amp; Corrugated Fill'!$C$12)</f>
        <v/>
      </c>
      <c r="F281" s="14">
        <f>(0.24*((C281+0.6*'Cooling Tower &amp; Corrugated Fill'!$C$12))+0.62198*(0.61094*EXP(17.625*(((C281+0.6*'Cooling Tower &amp; Corrugated Fill'!$C$12))-32)/1.8/((((C281+0.6*'Cooling Tower &amp; Corrugated Fill'!$C$12))-32)/1.8+243.04)))/('Cooling Tower &amp; Corrugated Fill'!$C$14-(0.61094*EXP(17.625*(((C281+0.6*'Cooling Tower &amp; Corrugated Fill'!$C$12))-32)/1.8/((((C281+0.6*'Cooling Tower &amp; Corrugated Fill'!$C$12))-32)/1.8+243.04))))*(1061+0.444*((C281+0.6*'Cooling Tower &amp; Corrugated Fill'!$C$12))))-('Merkel Solver'!$C$4+'Cooling Tower &amp; Corrugated Fill'!$C$13*0.6*'Cooling Tower &amp; Corrugated Fill'!$C$12)</f>
        <v/>
      </c>
      <c r="G281" s="14">
        <f>(0.24*((C281+0.9*'Cooling Tower &amp; Corrugated Fill'!$C$12))+0.62198*(0.61094*EXP(17.625*(((C281+0.9*'Cooling Tower &amp; Corrugated Fill'!$C$12))-32)/1.8/((((C281+0.9*'Cooling Tower &amp; Corrugated Fill'!$C$12))-32)/1.8+243.04)))/('Cooling Tower &amp; Corrugated Fill'!$C$14-(0.61094*EXP(17.625*(((C281+0.9*'Cooling Tower &amp; Corrugated Fill'!$C$12))-32)/1.8/((((C281+0.9*'Cooling Tower &amp; Corrugated Fill'!$C$12))-32)/1.8+243.04))))*(1061+0.444*((C281+0.9*'Cooling Tower &amp; Corrugated Fill'!$C$12))))-('Merkel Solver'!$C$4+'Cooling Tower &amp; Corrugated Fill'!$C$13*0.9*'Cooling Tower &amp; Corrugated Fill'!$C$12)</f>
        <v/>
      </c>
      <c r="H281" s="22">
        <f>IF(MIN(D281:G281)&lt;=0,99999,'Cooling Tower &amp; Corrugated Fill'!$C$12/4*(1/D281+1/E281+1/F281+1/G281))</f>
        <v/>
      </c>
    </row>
    <row r="282">
      <c r="B282" s="30" t="n">
        <v>27.6</v>
      </c>
      <c r="C282" s="12">
        <f>'Dashboard'!$C$9+B282</f>
        <v/>
      </c>
      <c r="D282" s="14">
        <f>(0.24*((C282+0.1*'Cooling Tower &amp; Corrugated Fill'!$C$12))+0.62198*(0.61094*EXP(17.625*(((C282+0.1*'Cooling Tower &amp; Corrugated Fill'!$C$12))-32)/1.8/((((C282+0.1*'Cooling Tower &amp; Corrugated Fill'!$C$12))-32)/1.8+243.04)))/('Cooling Tower &amp; Corrugated Fill'!$C$14-(0.61094*EXP(17.625*(((C282+0.1*'Cooling Tower &amp; Corrugated Fill'!$C$12))-32)/1.8/((((C282+0.1*'Cooling Tower &amp; Corrugated Fill'!$C$12))-32)/1.8+243.04))))*(1061+0.444*((C282+0.1*'Cooling Tower &amp; Corrugated Fill'!$C$12))))-('Merkel Solver'!$C$4+'Cooling Tower &amp; Corrugated Fill'!$C$13*0.1*'Cooling Tower &amp; Corrugated Fill'!$C$12)</f>
        <v/>
      </c>
      <c r="E282" s="14">
        <f>(0.24*((C282+0.4*'Cooling Tower &amp; Corrugated Fill'!$C$12))+0.62198*(0.61094*EXP(17.625*(((C282+0.4*'Cooling Tower &amp; Corrugated Fill'!$C$12))-32)/1.8/((((C282+0.4*'Cooling Tower &amp; Corrugated Fill'!$C$12))-32)/1.8+243.04)))/('Cooling Tower &amp; Corrugated Fill'!$C$14-(0.61094*EXP(17.625*(((C282+0.4*'Cooling Tower &amp; Corrugated Fill'!$C$12))-32)/1.8/((((C282+0.4*'Cooling Tower &amp; Corrugated Fill'!$C$12))-32)/1.8+243.04))))*(1061+0.444*((C282+0.4*'Cooling Tower &amp; Corrugated Fill'!$C$12))))-('Merkel Solver'!$C$4+'Cooling Tower &amp; Corrugated Fill'!$C$13*0.4*'Cooling Tower &amp; Corrugated Fill'!$C$12)</f>
        <v/>
      </c>
      <c r="F282" s="14">
        <f>(0.24*((C282+0.6*'Cooling Tower &amp; Corrugated Fill'!$C$12))+0.62198*(0.61094*EXP(17.625*(((C282+0.6*'Cooling Tower &amp; Corrugated Fill'!$C$12))-32)/1.8/((((C282+0.6*'Cooling Tower &amp; Corrugated Fill'!$C$12))-32)/1.8+243.04)))/('Cooling Tower &amp; Corrugated Fill'!$C$14-(0.61094*EXP(17.625*(((C282+0.6*'Cooling Tower &amp; Corrugated Fill'!$C$12))-32)/1.8/((((C282+0.6*'Cooling Tower &amp; Corrugated Fill'!$C$12))-32)/1.8+243.04))))*(1061+0.444*((C282+0.6*'Cooling Tower &amp; Corrugated Fill'!$C$12))))-('Merkel Solver'!$C$4+'Cooling Tower &amp; Corrugated Fill'!$C$13*0.6*'Cooling Tower &amp; Corrugated Fill'!$C$12)</f>
        <v/>
      </c>
      <c r="G282" s="14">
        <f>(0.24*((C282+0.9*'Cooling Tower &amp; Corrugated Fill'!$C$12))+0.62198*(0.61094*EXP(17.625*(((C282+0.9*'Cooling Tower &amp; Corrugated Fill'!$C$12))-32)/1.8/((((C282+0.9*'Cooling Tower &amp; Corrugated Fill'!$C$12))-32)/1.8+243.04)))/('Cooling Tower &amp; Corrugated Fill'!$C$14-(0.61094*EXP(17.625*(((C282+0.9*'Cooling Tower &amp; Corrugated Fill'!$C$12))-32)/1.8/((((C282+0.9*'Cooling Tower &amp; Corrugated Fill'!$C$12))-32)/1.8+243.04))))*(1061+0.444*((C282+0.9*'Cooling Tower &amp; Corrugated Fill'!$C$12))))-('Merkel Solver'!$C$4+'Cooling Tower &amp; Corrugated Fill'!$C$13*0.9*'Cooling Tower &amp; Corrugated Fill'!$C$12)</f>
        <v/>
      </c>
      <c r="H282" s="22">
        <f>IF(MIN(D282:G282)&lt;=0,99999,'Cooling Tower &amp; Corrugated Fill'!$C$12/4*(1/D282+1/E282+1/F282+1/G282))</f>
        <v/>
      </c>
    </row>
    <row r="283">
      <c r="B283" s="30" t="n">
        <v>27.7</v>
      </c>
      <c r="C283" s="12">
        <f>'Dashboard'!$C$9+B283</f>
        <v/>
      </c>
      <c r="D283" s="14">
        <f>(0.24*((C283+0.1*'Cooling Tower &amp; Corrugated Fill'!$C$12))+0.62198*(0.61094*EXP(17.625*(((C283+0.1*'Cooling Tower &amp; Corrugated Fill'!$C$12))-32)/1.8/((((C283+0.1*'Cooling Tower &amp; Corrugated Fill'!$C$12))-32)/1.8+243.04)))/('Cooling Tower &amp; Corrugated Fill'!$C$14-(0.61094*EXP(17.625*(((C283+0.1*'Cooling Tower &amp; Corrugated Fill'!$C$12))-32)/1.8/((((C283+0.1*'Cooling Tower &amp; Corrugated Fill'!$C$12))-32)/1.8+243.04))))*(1061+0.444*((C283+0.1*'Cooling Tower &amp; Corrugated Fill'!$C$12))))-('Merkel Solver'!$C$4+'Cooling Tower &amp; Corrugated Fill'!$C$13*0.1*'Cooling Tower &amp; Corrugated Fill'!$C$12)</f>
        <v/>
      </c>
      <c r="E283" s="14">
        <f>(0.24*((C283+0.4*'Cooling Tower &amp; Corrugated Fill'!$C$12))+0.62198*(0.61094*EXP(17.625*(((C283+0.4*'Cooling Tower &amp; Corrugated Fill'!$C$12))-32)/1.8/((((C283+0.4*'Cooling Tower &amp; Corrugated Fill'!$C$12))-32)/1.8+243.04)))/('Cooling Tower &amp; Corrugated Fill'!$C$14-(0.61094*EXP(17.625*(((C283+0.4*'Cooling Tower &amp; Corrugated Fill'!$C$12))-32)/1.8/((((C283+0.4*'Cooling Tower &amp; Corrugated Fill'!$C$12))-32)/1.8+243.04))))*(1061+0.444*((C283+0.4*'Cooling Tower &amp; Corrugated Fill'!$C$12))))-('Merkel Solver'!$C$4+'Cooling Tower &amp; Corrugated Fill'!$C$13*0.4*'Cooling Tower &amp; Corrugated Fill'!$C$12)</f>
        <v/>
      </c>
      <c r="F283" s="14">
        <f>(0.24*((C283+0.6*'Cooling Tower &amp; Corrugated Fill'!$C$12))+0.62198*(0.61094*EXP(17.625*(((C283+0.6*'Cooling Tower &amp; Corrugated Fill'!$C$12))-32)/1.8/((((C283+0.6*'Cooling Tower &amp; Corrugated Fill'!$C$12))-32)/1.8+243.04)))/('Cooling Tower &amp; Corrugated Fill'!$C$14-(0.61094*EXP(17.625*(((C283+0.6*'Cooling Tower &amp; Corrugated Fill'!$C$12))-32)/1.8/((((C283+0.6*'Cooling Tower &amp; Corrugated Fill'!$C$12))-32)/1.8+243.04))))*(1061+0.444*((C283+0.6*'Cooling Tower &amp; Corrugated Fill'!$C$12))))-('Merkel Solver'!$C$4+'Cooling Tower &amp; Corrugated Fill'!$C$13*0.6*'Cooling Tower &amp; Corrugated Fill'!$C$12)</f>
        <v/>
      </c>
      <c r="G283" s="14">
        <f>(0.24*((C283+0.9*'Cooling Tower &amp; Corrugated Fill'!$C$12))+0.62198*(0.61094*EXP(17.625*(((C283+0.9*'Cooling Tower &amp; Corrugated Fill'!$C$12))-32)/1.8/((((C283+0.9*'Cooling Tower &amp; Corrugated Fill'!$C$12))-32)/1.8+243.04)))/('Cooling Tower &amp; Corrugated Fill'!$C$14-(0.61094*EXP(17.625*(((C283+0.9*'Cooling Tower &amp; Corrugated Fill'!$C$12))-32)/1.8/((((C283+0.9*'Cooling Tower &amp; Corrugated Fill'!$C$12))-32)/1.8+243.04))))*(1061+0.444*((C283+0.9*'Cooling Tower &amp; Corrugated Fill'!$C$12))))-('Merkel Solver'!$C$4+'Cooling Tower &amp; Corrugated Fill'!$C$13*0.9*'Cooling Tower &amp; Corrugated Fill'!$C$12)</f>
        <v/>
      </c>
      <c r="H283" s="22">
        <f>IF(MIN(D283:G283)&lt;=0,99999,'Cooling Tower &amp; Corrugated Fill'!$C$12/4*(1/D283+1/E283+1/F283+1/G283))</f>
        <v/>
      </c>
    </row>
    <row r="284">
      <c r="B284" s="30" t="n">
        <v>27.8</v>
      </c>
      <c r="C284" s="12">
        <f>'Dashboard'!$C$9+B284</f>
        <v/>
      </c>
      <c r="D284" s="14">
        <f>(0.24*((C284+0.1*'Cooling Tower &amp; Corrugated Fill'!$C$12))+0.62198*(0.61094*EXP(17.625*(((C284+0.1*'Cooling Tower &amp; Corrugated Fill'!$C$12))-32)/1.8/((((C284+0.1*'Cooling Tower &amp; Corrugated Fill'!$C$12))-32)/1.8+243.04)))/('Cooling Tower &amp; Corrugated Fill'!$C$14-(0.61094*EXP(17.625*(((C284+0.1*'Cooling Tower &amp; Corrugated Fill'!$C$12))-32)/1.8/((((C284+0.1*'Cooling Tower &amp; Corrugated Fill'!$C$12))-32)/1.8+243.04))))*(1061+0.444*((C284+0.1*'Cooling Tower &amp; Corrugated Fill'!$C$12))))-('Merkel Solver'!$C$4+'Cooling Tower &amp; Corrugated Fill'!$C$13*0.1*'Cooling Tower &amp; Corrugated Fill'!$C$12)</f>
        <v/>
      </c>
      <c r="E284" s="14">
        <f>(0.24*((C284+0.4*'Cooling Tower &amp; Corrugated Fill'!$C$12))+0.62198*(0.61094*EXP(17.625*(((C284+0.4*'Cooling Tower &amp; Corrugated Fill'!$C$12))-32)/1.8/((((C284+0.4*'Cooling Tower &amp; Corrugated Fill'!$C$12))-32)/1.8+243.04)))/('Cooling Tower &amp; Corrugated Fill'!$C$14-(0.61094*EXP(17.625*(((C284+0.4*'Cooling Tower &amp; Corrugated Fill'!$C$12))-32)/1.8/((((C284+0.4*'Cooling Tower &amp; Corrugated Fill'!$C$12))-32)/1.8+243.04))))*(1061+0.444*((C284+0.4*'Cooling Tower &amp; Corrugated Fill'!$C$12))))-('Merkel Solver'!$C$4+'Cooling Tower &amp; Corrugated Fill'!$C$13*0.4*'Cooling Tower &amp; Corrugated Fill'!$C$12)</f>
        <v/>
      </c>
      <c r="F284" s="14">
        <f>(0.24*((C284+0.6*'Cooling Tower &amp; Corrugated Fill'!$C$12))+0.62198*(0.61094*EXP(17.625*(((C284+0.6*'Cooling Tower &amp; Corrugated Fill'!$C$12))-32)/1.8/((((C284+0.6*'Cooling Tower &amp; Corrugated Fill'!$C$12))-32)/1.8+243.04)))/('Cooling Tower &amp; Corrugated Fill'!$C$14-(0.61094*EXP(17.625*(((C284+0.6*'Cooling Tower &amp; Corrugated Fill'!$C$12))-32)/1.8/((((C284+0.6*'Cooling Tower &amp; Corrugated Fill'!$C$12))-32)/1.8+243.04))))*(1061+0.444*((C284+0.6*'Cooling Tower &amp; Corrugated Fill'!$C$12))))-('Merkel Solver'!$C$4+'Cooling Tower &amp; Corrugated Fill'!$C$13*0.6*'Cooling Tower &amp; Corrugated Fill'!$C$12)</f>
        <v/>
      </c>
      <c r="G284" s="14">
        <f>(0.24*((C284+0.9*'Cooling Tower &amp; Corrugated Fill'!$C$12))+0.62198*(0.61094*EXP(17.625*(((C284+0.9*'Cooling Tower &amp; Corrugated Fill'!$C$12))-32)/1.8/((((C284+0.9*'Cooling Tower &amp; Corrugated Fill'!$C$12))-32)/1.8+243.04)))/('Cooling Tower &amp; Corrugated Fill'!$C$14-(0.61094*EXP(17.625*(((C284+0.9*'Cooling Tower &amp; Corrugated Fill'!$C$12))-32)/1.8/((((C284+0.9*'Cooling Tower &amp; Corrugated Fill'!$C$12))-32)/1.8+243.04))))*(1061+0.444*((C284+0.9*'Cooling Tower &amp; Corrugated Fill'!$C$12))))-('Merkel Solver'!$C$4+'Cooling Tower &amp; Corrugated Fill'!$C$13*0.9*'Cooling Tower &amp; Corrugated Fill'!$C$12)</f>
        <v/>
      </c>
      <c r="H284" s="22">
        <f>IF(MIN(D284:G284)&lt;=0,99999,'Cooling Tower &amp; Corrugated Fill'!$C$12/4*(1/D284+1/E284+1/F284+1/G284))</f>
        <v/>
      </c>
    </row>
    <row r="285">
      <c r="B285" s="30" t="n">
        <v>27.9</v>
      </c>
      <c r="C285" s="12">
        <f>'Dashboard'!$C$9+B285</f>
        <v/>
      </c>
      <c r="D285" s="14">
        <f>(0.24*((C285+0.1*'Cooling Tower &amp; Corrugated Fill'!$C$12))+0.62198*(0.61094*EXP(17.625*(((C285+0.1*'Cooling Tower &amp; Corrugated Fill'!$C$12))-32)/1.8/((((C285+0.1*'Cooling Tower &amp; Corrugated Fill'!$C$12))-32)/1.8+243.04)))/('Cooling Tower &amp; Corrugated Fill'!$C$14-(0.61094*EXP(17.625*(((C285+0.1*'Cooling Tower &amp; Corrugated Fill'!$C$12))-32)/1.8/((((C285+0.1*'Cooling Tower &amp; Corrugated Fill'!$C$12))-32)/1.8+243.04))))*(1061+0.444*((C285+0.1*'Cooling Tower &amp; Corrugated Fill'!$C$12))))-('Merkel Solver'!$C$4+'Cooling Tower &amp; Corrugated Fill'!$C$13*0.1*'Cooling Tower &amp; Corrugated Fill'!$C$12)</f>
        <v/>
      </c>
      <c r="E285" s="14">
        <f>(0.24*((C285+0.4*'Cooling Tower &amp; Corrugated Fill'!$C$12))+0.62198*(0.61094*EXP(17.625*(((C285+0.4*'Cooling Tower &amp; Corrugated Fill'!$C$12))-32)/1.8/((((C285+0.4*'Cooling Tower &amp; Corrugated Fill'!$C$12))-32)/1.8+243.04)))/('Cooling Tower &amp; Corrugated Fill'!$C$14-(0.61094*EXP(17.625*(((C285+0.4*'Cooling Tower &amp; Corrugated Fill'!$C$12))-32)/1.8/((((C285+0.4*'Cooling Tower &amp; Corrugated Fill'!$C$12))-32)/1.8+243.04))))*(1061+0.444*((C285+0.4*'Cooling Tower &amp; Corrugated Fill'!$C$12))))-('Merkel Solver'!$C$4+'Cooling Tower &amp; Corrugated Fill'!$C$13*0.4*'Cooling Tower &amp; Corrugated Fill'!$C$12)</f>
        <v/>
      </c>
      <c r="F285" s="14">
        <f>(0.24*((C285+0.6*'Cooling Tower &amp; Corrugated Fill'!$C$12))+0.62198*(0.61094*EXP(17.625*(((C285+0.6*'Cooling Tower &amp; Corrugated Fill'!$C$12))-32)/1.8/((((C285+0.6*'Cooling Tower &amp; Corrugated Fill'!$C$12))-32)/1.8+243.04)))/('Cooling Tower &amp; Corrugated Fill'!$C$14-(0.61094*EXP(17.625*(((C285+0.6*'Cooling Tower &amp; Corrugated Fill'!$C$12))-32)/1.8/((((C285+0.6*'Cooling Tower &amp; Corrugated Fill'!$C$12))-32)/1.8+243.04))))*(1061+0.444*((C285+0.6*'Cooling Tower &amp; Corrugated Fill'!$C$12))))-('Merkel Solver'!$C$4+'Cooling Tower &amp; Corrugated Fill'!$C$13*0.6*'Cooling Tower &amp; Corrugated Fill'!$C$12)</f>
        <v/>
      </c>
      <c r="G285" s="14">
        <f>(0.24*((C285+0.9*'Cooling Tower &amp; Corrugated Fill'!$C$12))+0.62198*(0.61094*EXP(17.625*(((C285+0.9*'Cooling Tower &amp; Corrugated Fill'!$C$12))-32)/1.8/((((C285+0.9*'Cooling Tower &amp; Corrugated Fill'!$C$12))-32)/1.8+243.04)))/('Cooling Tower &amp; Corrugated Fill'!$C$14-(0.61094*EXP(17.625*(((C285+0.9*'Cooling Tower &amp; Corrugated Fill'!$C$12))-32)/1.8/((((C285+0.9*'Cooling Tower &amp; Corrugated Fill'!$C$12))-32)/1.8+243.04))))*(1061+0.444*((C285+0.9*'Cooling Tower &amp; Corrugated Fill'!$C$12))))-('Merkel Solver'!$C$4+'Cooling Tower &amp; Corrugated Fill'!$C$13*0.9*'Cooling Tower &amp; Corrugated Fill'!$C$12)</f>
        <v/>
      </c>
      <c r="H285" s="22">
        <f>IF(MIN(D285:G285)&lt;=0,99999,'Cooling Tower &amp; Corrugated Fill'!$C$12/4*(1/D285+1/E285+1/F285+1/G285))</f>
        <v/>
      </c>
    </row>
    <row r="286">
      <c r="B286" s="30" t="n">
        <v>28</v>
      </c>
      <c r="C286" s="12">
        <f>'Dashboard'!$C$9+B286</f>
        <v/>
      </c>
      <c r="D286" s="14">
        <f>(0.24*((C286+0.1*'Cooling Tower &amp; Corrugated Fill'!$C$12))+0.62198*(0.61094*EXP(17.625*(((C286+0.1*'Cooling Tower &amp; Corrugated Fill'!$C$12))-32)/1.8/((((C286+0.1*'Cooling Tower &amp; Corrugated Fill'!$C$12))-32)/1.8+243.04)))/('Cooling Tower &amp; Corrugated Fill'!$C$14-(0.61094*EXP(17.625*(((C286+0.1*'Cooling Tower &amp; Corrugated Fill'!$C$12))-32)/1.8/((((C286+0.1*'Cooling Tower &amp; Corrugated Fill'!$C$12))-32)/1.8+243.04))))*(1061+0.444*((C286+0.1*'Cooling Tower &amp; Corrugated Fill'!$C$12))))-('Merkel Solver'!$C$4+'Cooling Tower &amp; Corrugated Fill'!$C$13*0.1*'Cooling Tower &amp; Corrugated Fill'!$C$12)</f>
        <v/>
      </c>
      <c r="E286" s="14">
        <f>(0.24*((C286+0.4*'Cooling Tower &amp; Corrugated Fill'!$C$12))+0.62198*(0.61094*EXP(17.625*(((C286+0.4*'Cooling Tower &amp; Corrugated Fill'!$C$12))-32)/1.8/((((C286+0.4*'Cooling Tower &amp; Corrugated Fill'!$C$12))-32)/1.8+243.04)))/('Cooling Tower &amp; Corrugated Fill'!$C$14-(0.61094*EXP(17.625*(((C286+0.4*'Cooling Tower &amp; Corrugated Fill'!$C$12))-32)/1.8/((((C286+0.4*'Cooling Tower &amp; Corrugated Fill'!$C$12))-32)/1.8+243.04))))*(1061+0.444*((C286+0.4*'Cooling Tower &amp; Corrugated Fill'!$C$12))))-('Merkel Solver'!$C$4+'Cooling Tower &amp; Corrugated Fill'!$C$13*0.4*'Cooling Tower &amp; Corrugated Fill'!$C$12)</f>
        <v/>
      </c>
      <c r="F286" s="14">
        <f>(0.24*((C286+0.6*'Cooling Tower &amp; Corrugated Fill'!$C$12))+0.62198*(0.61094*EXP(17.625*(((C286+0.6*'Cooling Tower &amp; Corrugated Fill'!$C$12))-32)/1.8/((((C286+0.6*'Cooling Tower &amp; Corrugated Fill'!$C$12))-32)/1.8+243.04)))/('Cooling Tower &amp; Corrugated Fill'!$C$14-(0.61094*EXP(17.625*(((C286+0.6*'Cooling Tower &amp; Corrugated Fill'!$C$12))-32)/1.8/((((C286+0.6*'Cooling Tower &amp; Corrugated Fill'!$C$12))-32)/1.8+243.04))))*(1061+0.444*((C286+0.6*'Cooling Tower &amp; Corrugated Fill'!$C$12))))-('Merkel Solver'!$C$4+'Cooling Tower &amp; Corrugated Fill'!$C$13*0.6*'Cooling Tower &amp; Corrugated Fill'!$C$12)</f>
        <v/>
      </c>
      <c r="G286" s="14">
        <f>(0.24*((C286+0.9*'Cooling Tower &amp; Corrugated Fill'!$C$12))+0.62198*(0.61094*EXP(17.625*(((C286+0.9*'Cooling Tower &amp; Corrugated Fill'!$C$12))-32)/1.8/((((C286+0.9*'Cooling Tower &amp; Corrugated Fill'!$C$12))-32)/1.8+243.04)))/('Cooling Tower &amp; Corrugated Fill'!$C$14-(0.61094*EXP(17.625*(((C286+0.9*'Cooling Tower &amp; Corrugated Fill'!$C$12))-32)/1.8/((((C286+0.9*'Cooling Tower &amp; Corrugated Fill'!$C$12))-32)/1.8+243.04))))*(1061+0.444*((C286+0.9*'Cooling Tower &amp; Corrugated Fill'!$C$12))))-('Merkel Solver'!$C$4+'Cooling Tower &amp; Corrugated Fill'!$C$13*0.9*'Cooling Tower &amp; Corrugated Fill'!$C$12)</f>
        <v/>
      </c>
      <c r="H286" s="22">
        <f>IF(MIN(D286:G286)&lt;=0,99999,'Cooling Tower &amp; Corrugated Fill'!$C$12/4*(1/D286+1/E286+1/F286+1/G286))</f>
        <v/>
      </c>
    </row>
    <row r="287">
      <c r="B287" s="30" t="n">
        <v>28.1</v>
      </c>
      <c r="C287" s="12">
        <f>'Dashboard'!$C$9+B287</f>
        <v/>
      </c>
      <c r="D287" s="14">
        <f>(0.24*((C287+0.1*'Cooling Tower &amp; Corrugated Fill'!$C$12))+0.62198*(0.61094*EXP(17.625*(((C287+0.1*'Cooling Tower &amp; Corrugated Fill'!$C$12))-32)/1.8/((((C287+0.1*'Cooling Tower &amp; Corrugated Fill'!$C$12))-32)/1.8+243.04)))/('Cooling Tower &amp; Corrugated Fill'!$C$14-(0.61094*EXP(17.625*(((C287+0.1*'Cooling Tower &amp; Corrugated Fill'!$C$12))-32)/1.8/((((C287+0.1*'Cooling Tower &amp; Corrugated Fill'!$C$12))-32)/1.8+243.04))))*(1061+0.444*((C287+0.1*'Cooling Tower &amp; Corrugated Fill'!$C$12))))-('Merkel Solver'!$C$4+'Cooling Tower &amp; Corrugated Fill'!$C$13*0.1*'Cooling Tower &amp; Corrugated Fill'!$C$12)</f>
        <v/>
      </c>
      <c r="E287" s="14">
        <f>(0.24*((C287+0.4*'Cooling Tower &amp; Corrugated Fill'!$C$12))+0.62198*(0.61094*EXP(17.625*(((C287+0.4*'Cooling Tower &amp; Corrugated Fill'!$C$12))-32)/1.8/((((C287+0.4*'Cooling Tower &amp; Corrugated Fill'!$C$12))-32)/1.8+243.04)))/('Cooling Tower &amp; Corrugated Fill'!$C$14-(0.61094*EXP(17.625*(((C287+0.4*'Cooling Tower &amp; Corrugated Fill'!$C$12))-32)/1.8/((((C287+0.4*'Cooling Tower &amp; Corrugated Fill'!$C$12))-32)/1.8+243.04))))*(1061+0.444*((C287+0.4*'Cooling Tower &amp; Corrugated Fill'!$C$12))))-('Merkel Solver'!$C$4+'Cooling Tower &amp; Corrugated Fill'!$C$13*0.4*'Cooling Tower &amp; Corrugated Fill'!$C$12)</f>
        <v/>
      </c>
      <c r="F287" s="14">
        <f>(0.24*((C287+0.6*'Cooling Tower &amp; Corrugated Fill'!$C$12))+0.62198*(0.61094*EXP(17.625*(((C287+0.6*'Cooling Tower &amp; Corrugated Fill'!$C$12))-32)/1.8/((((C287+0.6*'Cooling Tower &amp; Corrugated Fill'!$C$12))-32)/1.8+243.04)))/('Cooling Tower &amp; Corrugated Fill'!$C$14-(0.61094*EXP(17.625*(((C287+0.6*'Cooling Tower &amp; Corrugated Fill'!$C$12))-32)/1.8/((((C287+0.6*'Cooling Tower &amp; Corrugated Fill'!$C$12))-32)/1.8+243.04))))*(1061+0.444*((C287+0.6*'Cooling Tower &amp; Corrugated Fill'!$C$12))))-('Merkel Solver'!$C$4+'Cooling Tower &amp; Corrugated Fill'!$C$13*0.6*'Cooling Tower &amp; Corrugated Fill'!$C$12)</f>
        <v/>
      </c>
      <c r="G287" s="14">
        <f>(0.24*((C287+0.9*'Cooling Tower &amp; Corrugated Fill'!$C$12))+0.62198*(0.61094*EXP(17.625*(((C287+0.9*'Cooling Tower &amp; Corrugated Fill'!$C$12))-32)/1.8/((((C287+0.9*'Cooling Tower &amp; Corrugated Fill'!$C$12))-32)/1.8+243.04)))/('Cooling Tower &amp; Corrugated Fill'!$C$14-(0.61094*EXP(17.625*(((C287+0.9*'Cooling Tower &amp; Corrugated Fill'!$C$12))-32)/1.8/((((C287+0.9*'Cooling Tower &amp; Corrugated Fill'!$C$12))-32)/1.8+243.04))))*(1061+0.444*((C287+0.9*'Cooling Tower &amp; Corrugated Fill'!$C$12))))-('Merkel Solver'!$C$4+'Cooling Tower &amp; Corrugated Fill'!$C$13*0.9*'Cooling Tower &amp; Corrugated Fill'!$C$12)</f>
        <v/>
      </c>
      <c r="H287" s="22">
        <f>IF(MIN(D287:G287)&lt;=0,99999,'Cooling Tower &amp; Corrugated Fill'!$C$12/4*(1/D287+1/E287+1/F287+1/G287))</f>
        <v/>
      </c>
    </row>
    <row r="288">
      <c r="B288" s="30" t="n">
        <v>28.2</v>
      </c>
      <c r="C288" s="12">
        <f>'Dashboard'!$C$9+B288</f>
        <v/>
      </c>
      <c r="D288" s="14">
        <f>(0.24*((C288+0.1*'Cooling Tower &amp; Corrugated Fill'!$C$12))+0.62198*(0.61094*EXP(17.625*(((C288+0.1*'Cooling Tower &amp; Corrugated Fill'!$C$12))-32)/1.8/((((C288+0.1*'Cooling Tower &amp; Corrugated Fill'!$C$12))-32)/1.8+243.04)))/('Cooling Tower &amp; Corrugated Fill'!$C$14-(0.61094*EXP(17.625*(((C288+0.1*'Cooling Tower &amp; Corrugated Fill'!$C$12))-32)/1.8/((((C288+0.1*'Cooling Tower &amp; Corrugated Fill'!$C$12))-32)/1.8+243.04))))*(1061+0.444*((C288+0.1*'Cooling Tower &amp; Corrugated Fill'!$C$12))))-('Merkel Solver'!$C$4+'Cooling Tower &amp; Corrugated Fill'!$C$13*0.1*'Cooling Tower &amp; Corrugated Fill'!$C$12)</f>
        <v/>
      </c>
      <c r="E288" s="14">
        <f>(0.24*((C288+0.4*'Cooling Tower &amp; Corrugated Fill'!$C$12))+0.62198*(0.61094*EXP(17.625*(((C288+0.4*'Cooling Tower &amp; Corrugated Fill'!$C$12))-32)/1.8/((((C288+0.4*'Cooling Tower &amp; Corrugated Fill'!$C$12))-32)/1.8+243.04)))/('Cooling Tower &amp; Corrugated Fill'!$C$14-(0.61094*EXP(17.625*(((C288+0.4*'Cooling Tower &amp; Corrugated Fill'!$C$12))-32)/1.8/((((C288+0.4*'Cooling Tower &amp; Corrugated Fill'!$C$12))-32)/1.8+243.04))))*(1061+0.444*((C288+0.4*'Cooling Tower &amp; Corrugated Fill'!$C$12))))-('Merkel Solver'!$C$4+'Cooling Tower &amp; Corrugated Fill'!$C$13*0.4*'Cooling Tower &amp; Corrugated Fill'!$C$12)</f>
        <v/>
      </c>
      <c r="F288" s="14">
        <f>(0.24*((C288+0.6*'Cooling Tower &amp; Corrugated Fill'!$C$12))+0.62198*(0.61094*EXP(17.625*(((C288+0.6*'Cooling Tower &amp; Corrugated Fill'!$C$12))-32)/1.8/((((C288+0.6*'Cooling Tower &amp; Corrugated Fill'!$C$12))-32)/1.8+243.04)))/('Cooling Tower &amp; Corrugated Fill'!$C$14-(0.61094*EXP(17.625*(((C288+0.6*'Cooling Tower &amp; Corrugated Fill'!$C$12))-32)/1.8/((((C288+0.6*'Cooling Tower &amp; Corrugated Fill'!$C$12))-32)/1.8+243.04))))*(1061+0.444*((C288+0.6*'Cooling Tower &amp; Corrugated Fill'!$C$12))))-('Merkel Solver'!$C$4+'Cooling Tower &amp; Corrugated Fill'!$C$13*0.6*'Cooling Tower &amp; Corrugated Fill'!$C$12)</f>
        <v/>
      </c>
      <c r="G288" s="14">
        <f>(0.24*((C288+0.9*'Cooling Tower &amp; Corrugated Fill'!$C$12))+0.62198*(0.61094*EXP(17.625*(((C288+0.9*'Cooling Tower &amp; Corrugated Fill'!$C$12))-32)/1.8/((((C288+0.9*'Cooling Tower &amp; Corrugated Fill'!$C$12))-32)/1.8+243.04)))/('Cooling Tower &amp; Corrugated Fill'!$C$14-(0.61094*EXP(17.625*(((C288+0.9*'Cooling Tower &amp; Corrugated Fill'!$C$12))-32)/1.8/((((C288+0.9*'Cooling Tower &amp; Corrugated Fill'!$C$12))-32)/1.8+243.04))))*(1061+0.444*((C288+0.9*'Cooling Tower &amp; Corrugated Fill'!$C$12))))-('Merkel Solver'!$C$4+'Cooling Tower &amp; Corrugated Fill'!$C$13*0.9*'Cooling Tower &amp; Corrugated Fill'!$C$12)</f>
        <v/>
      </c>
      <c r="H288" s="22">
        <f>IF(MIN(D288:G288)&lt;=0,99999,'Cooling Tower &amp; Corrugated Fill'!$C$12/4*(1/D288+1/E288+1/F288+1/G288))</f>
        <v/>
      </c>
    </row>
    <row r="289">
      <c r="B289" s="30" t="n">
        <v>28.3</v>
      </c>
      <c r="C289" s="12">
        <f>'Dashboard'!$C$9+B289</f>
        <v/>
      </c>
      <c r="D289" s="14">
        <f>(0.24*((C289+0.1*'Cooling Tower &amp; Corrugated Fill'!$C$12))+0.62198*(0.61094*EXP(17.625*(((C289+0.1*'Cooling Tower &amp; Corrugated Fill'!$C$12))-32)/1.8/((((C289+0.1*'Cooling Tower &amp; Corrugated Fill'!$C$12))-32)/1.8+243.04)))/('Cooling Tower &amp; Corrugated Fill'!$C$14-(0.61094*EXP(17.625*(((C289+0.1*'Cooling Tower &amp; Corrugated Fill'!$C$12))-32)/1.8/((((C289+0.1*'Cooling Tower &amp; Corrugated Fill'!$C$12))-32)/1.8+243.04))))*(1061+0.444*((C289+0.1*'Cooling Tower &amp; Corrugated Fill'!$C$12))))-('Merkel Solver'!$C$4+'Cooling Tower &amp; Corrugated Fill'!$C$13*0.1*'Cooling Tower &amp; Corrugated Fill'!$C$12)</f>
        <v/>
      </c>
      <c r="E289" s="14">
        <f>(0.24*((C289+0.4*'Cooling Tower &amp; Corrugated Fill'!$C$12))+0.62198*(0.61094*EXP(17.625*(((C289+0.4*'Cooling Tower &amp; Corrugated Fill'!$C$12))-32)/1.8/((((C289+0.4*'Cooling Tower &amp; Corrugated Fill'!$C$12))-32)/1.8+243.04)))/('Cooling Tower &amp; Corrugated Fill'!$C$14-(0.61094*EXP(17.625*(((C289+0.4*'Cooling Tower &amp; Corrugated Fill'!$C$12))-32)/1.8/((((C289+0.4*'Cooling Tower &amp; Corrugated Fill'!$C$12))-32)/1.8+243.04))))*(1061+0.444*((C289+0.4*'Cooling Tower &amp; Corrugated Fill'!$C$12))))-('Merkel Solver'!$C$4+'Cooling Tower &amp; Corrugated Fill'!$C$13*0.4*'Cooling Tower &amp; Corrugated Fill'!$C$12)</f>
        <v/>
      </c>
      <c r="F289" s="14">
        <f>(0.24*((C289+0.6*'Cooling Tower &amp; Corrugated Fill'!$C$12))+0.62198*(0.61094*EXP(17.625*(((C289+0.6*'Cooling Tower &amp; Corrugated Fill'!$C$12))-32)/1.8/((((C289+0.6*'Cooling Tower &amp; Corrugated Fill'!$C$12))-32)/1.8+243.04)))/('Cooling Tower &amp; Corrugated Fill'!$C$14-(0.61094*EXP(17.625*(((C289+0.6*'Cooling Tower &amp; Corrugated Fill'!$C$12))-32)/1.8/((((C289+0.6*'Cooling Tower &amp; Corrugated Fill'!$C$12))-32)/1.8+243.04))))*(1061+0.444*((C289+0.6*'Cooling Tower &amp; Corrugated Fill'!$C$12))))-('Merkel Solver'!$C$4+'Cooling Tower &amp; Corrugated Fill'!$C$13*0.6*'Cooling Tower &amp; Corrugated Fill'!$C$12)</f>
        <v/>
      </c>
      <c r="G289" s="14">
        <f>(0.24*((C289+0.9*'Cooling Tower &amp; Corrugated Fill'!$C$12))+0.62198*(0.61094*EXP(17.625*(((C289+0.9*'Cooling Tower &amp; Corrugated Fill'!$C$12))-32)/1.8/((((C289+0.9*'Cooling Tower &amp; Corrugated Fill'!$C$12))-32)/1.8+243.04)))/('Cooling Tower &amp; Corrugated Fill'!$C$14-(0.61094*EXP(17.625*(((C289+0.9*'Cooling Tower &amp; Corrugated Fill'!$C$12))-32)/1.8/((((C289+0.9*'Cooling Tower &amp; Corrugated Fill'!$C$12))-32)/1.8+243.04))))*(1061+0.444*((C289+0.9*'Cooling Tower &amp; Corrugated Fill'!$C$12))))-('Merkel Solver'!$C$4+'Cooling Tower &amp; Corrugated Fill'!$C$13*0.9*'Cooling Tower &amp; Corrugated Fill'!$C$12)</f>
        <v/>
      </c>
      <c r="H289" s="22">
        <f>IF(MIN(D289:G289)&lt;=0,99999,'Cooling Tower &amp; Corrugated Fill'!$C$12/4*(1/D289+1/E289+1/F289+1/G289))</f>
        <v/>
      </c>
    </row>
    <row r="290">
      <c r="B290" s="30" t="n">
        <v>28.4</v>
      </c>
      <c r="C290" s="12">
        <f>'Dashboard'!$C$9+B290</f>
        <v/>
      </c>
      <c r="D290" s="14">
        <f>(0.24*((C290+0.1*'Cooling Tower &amp; Corrugated Fill'!$C$12))+0.62198*(0.61094*EXP(17.625*(((C290+0.1*'Cooling Tower &amp; Corrugated Fill'!$C$12))-32)/1.8/((((C290+0.1*'Cooling Tower &amp; Corrugated Fill'!$C$12))-32)/1.8+243.04)))/('Cooling Tower &amp; Corrugated Fill'!$C$14-(0.61094*EXP(17.625*(((C290+0.1*'Cooling Tower &amp; Corrugated Fill'!$C$12))-32)/1.8/((((C290+0.1*'Cooling Tower &amp; Corrugated Fill'!$C$12))-32)/1.8+243.04))))*(1061+0.444*((C290+0.1*'Cooling Tower &amp; Corrugated Fill'!$C$12))))-('Merkel Solver'!$C$4+'Cooling Tower &amp; Corrugated Fill'!$C$13*0.1*'Cooling Tower &amp; Corrugated Fill'!$C$12)</f>
        <v/>
      </c>
      <c r="E290" s="14">
        <f>(0.24*((C290+0.4*'Cooling Tower &amp; Corrugated Fill'!$C$12))+0.62198*(0.61094*EXP(17.625*(((C290+0.4*'Cooling Tower &amp; Corrugated Fill'!$C$12))-32)/1.8/((((C290+0.4*'Cooling Tower &amp; Corrugated Fill'!$C$12))-32)/1.8+243.04)))/('Cooling Tower &amp; Corrugated Fill'!$C$14-(0.61094*EXP(17.625*(((C290+0.4*'Cooling Tower &amp; Corrugated Fill'!$C$12))-32)/1.8/((((C290+0.4*'Cooling Tower &amp; Corrugated Fill'!$C$12))-32)/1.8+243.04))))*(1061+0.444*((C290+0.4*'Cooling Tower &amp; Corrugated Fill'!$C$12))))-('Merkel Solver'!$C$4+'Cooling Tower &amp; Corrugated Fill'!$C$13*0.4*'Cooling Tower &amp; Corrugated Fill'!$C$12)</f>
        <v/>
      </c>
      <c r="F290" s="14">
        <f>(0.24*((C290+0.6*'Cooling Tower &amp; Corrugated Fill'!$C$12))+0.62198*(0.61094*EXP(17.625*(((C290+0.6*'Cooling Tower &amp; Corrugated Fill'!$C$12))-32)/1.8/((((C290+0.6*'Cooling Tower &amp; Corrugated Fill'!$C$12))-32)/1.8+243.04)))/('Cooling Tower &amp; Corrugated Fill'!$C$14-(0.61094*EXP(17.625*(((C290+0.6*'Cooling Tower &amp; Corrugated Fill'!$C$12))-32)/1.8/((((C290+0.6*'Cooling Tower &amp; Corrugated Fill'!$C$12))-32)/1.8+243.04))))*(1061+0.444*((C290+0.6*'Cooling Tower &amp; Corrugated Fill'!$C$12))))-('Merkel Solver'!$C$4+'Cooling Tower &amp; Corrugated Fill'!$C$13*0.6*'Cooling Tower &amp; Corrugated Fill'!$C$12)</f>
        <v/>
      </c>
      <c r="G290" s="14">
        <f>(0.24*((C290+0.9*'Cooling Tower &amp; Corrugated Fill'!$C$12))+0.62198*(0.61094*EXP(17.625*(((C290+0.9*'Cooling Tower &amp; Corrugated Fill'!$C$12))-32)/1.8/((((C290+0.9*'Cooling Tower &amp; Corrugated Fill'!$C$12))-32)/1.8+243.04)))/('Cooling Tower &amp; Corrugated Fill'!$C$14-(0.61094*EXP(17.625*(((C290+0.9*'Cooling Tower &amp; Corrugated Fill'!$C$12))-32)/1.8/((((C290+0.9*'Cooling Tower &amp; Corrugated Fill'!$C$12))-32)/1.8+243.04))))*(1061+0.444*((C290+0.9*'Cooling Tower &amp; Corrugated Fill'!$C$12))))-('Merkel Solver'!$C$4+'Cooling Tower &amp; Corrugated Fill'!$C$13*0.9*'Cooling Tower &amp; Corrugated Fill'!$C$12)</f>
        <v/>
      </c>
      <c r="H290" s="22">
        <f>IF(MIN(D290:G290)&lt;=0,99999,'Cooling Tower &amp; Corrugated Fill'!$C$12/4*(1/D290+1/E290+1/F290+1/G290))</f>
        <v/>
      </c>
    </row>
    <row r="291">
      <c r="B291" s="30" t="n">
        <v>28.5</v>
      </c>
      <c r="C291" s="12">
        <f>'Dashboard'!$C$9+B291</f>
        <v/>
      </c>
      <c r="D291" s="14">
        <f>(0.24*((C291+0.1*'Cooling Tower &amp; Corrugated Fill'!$C$12))+0.62198*(0.61094*EXP(17.625*(((C291+0.1*'Cooling Tower &amp; Corrugated Fill'!$C$12))-32)/1.8/((((C291+0.1*'Cooling Tower &amp; Corrugated Fill'!$C$12))-32)/1.8+243.04)))/('Cooling Tower &amp; Corrugated Fill'!$C$14-(0.61094*EXP(17.625*(((C291+0.1*'Cooling Tower &amp; Corrugated Fill'!$C$12))-32)/1.8/((((C291+0.1*'Cooling Tower &amp; Corrugated Fill'!$C$12))-32)/1.8+243.04))))*(1061+0.444*((C291+0.1*'Cooling Tower &amp; Corrugated Fill'!$C$12))))-('Merkel Solver'!$C$4+'Cooling Tower &amp; Corrugated Fill'!$C$13*0.1*'Cooling Tower &amp; Corrugated Fill'!$C$12)</f>
        <v/>
      </c>
      <c r="E291" s="14">
        <f>(0.24*((C291+0.4*'Cooling Tower &amp; Corrugated Fill'!$C$12))+0.62198*(0.61094*EXP(17.625*(((C291+0.4*'Cooling Tower &amp; Corrugated Fill'!$C$12))-32)/1.8/((((C291+0.4*'Cooling Tower &amp; Corrugated Fill'!$C$12))-32)/1.8+243.04)))/('Cooling Tower &amp; Corrugated Fill'!$C$14-(0.61094*EXP(17.625*(((C291+0.4*'Cooling Tower &amp; Corrugated Fill'!$C$12))-32)/1.8/((((C291+0.4*'Cooling Tower &amp; Corrugated Fill'!$C$12))-32)/1.8+243.04))))*(1061+0.444*((C291+0.4*'Cooling Tower &amp; Corrugated Fill'!$C$12))))-('Merkel Solver'!$C$4+'Cooling Tower &amp; Corrugated Fill'!$C$13*0.4*'Cooling Tower &amp; Corrugated Fill'!$C$12)</f>
        <v/>
      </c>
      <c r="F291" s="14">
        <f>(0.24*((C291+0.6*'Cooling Tower &amp; Corrugated Fill'!$C$12))+0.62198*(0.61094*EXP(17.625*(((C291+0.6*'Cooling Tower &amp; Corrugated Fill'!$C$12))-32)/1.8/((((C291+0.6*'Cooling Tower &amp; Corrugated Fill'!$C$12))-32)/1.8+243.04)))/('Cooling Tower &amp; Corrugated Fill'!$C$14-(0.61094*EXP(17.625*(((C291+0.6*'Cooling Tower &amp; Corrugated Fill'!$C$12))-32)/1.8/((((C291+0.6*'Cooling Tower &amp; Corrugated Fill'!$C$12))-32)/1.8+243.04))))*(1061+0.444*((C291+0.6*'Cooling Tower &amp; Corrugated Fill'!$C$12))))-('Merkel Solver'!$C$4+'Cooling Tower &amp; Corrugated Fill'!$C$13*0.6*'Cooling Tower &amp; Corrugated Fill'!$C$12)</f>
        <v/>
      </c>
      <c r="G291" s="14">
        <f>(0.24*((C291+0.9*'Cooling Tower &amp; Corrugated Fill'!$C$12))+0.62198*(0.61094*EXP(17.625*(((C291+0.9*'Cooling Tower &amp; Corrugated Fill'!$C$12))-32)/1.8/((((C291+0.9*'Cooling Tower &amp; Corrugated Fill'!$C$12))-32)/1.8+243.04)))/('Cooling Tower &amp; Corrugated Fill'!$C$14-(0.61094*EXP(17.625*(((C291+0.9*'Cooling Tower &amp; Corrugated Fill'!$C$12))-32)/1.8/((((C291+0.9*'Cooling Tower &amp; Corrugated Fill'!$C$12))-32)/1.8+243.04))))*(1061+0.444*((C291+0.9*'Cooling Tower &amp; Corrugated Fill'!$C$12))))-('Merkel Solver'!$C$4+'Cooling Tower &amp; Corrugated Fill'!$C$13*0.9*'Cooling Tower &amp; Corrugated Fill'!$C$12)</f>
        <v/>
      </c>
      <c r="H291" s="22">
        <f>IF(MIN(D291:G291)&lt;=0,99999,'Cooling Tower &amp; Corrugated Fill'!$C$12/4*(1/D291+1/E291+1/F291+1/G291))</f>
        <v/>
      </c>
    </row>
    <row r="292">
      <c r="B292" s="30" t="n">
        <v>28.6</v>
      </c>
      <c r="C292" s="12">
        <f>'Dashboard'!$C$9+B292</f>
        <v/>
      </c>
      <c r="D292" s="14">
        <f>(0.24*((C292+0.1*'Cooling Tower &amp; Corrugated Fill'!$C$12))+0.62198*(0.61094*EXP(17.625*(((C292+0.1*'Cooling Tower &amp; Corrugated Fill'!$C$12))-32)/1.8/((((C292+0.1*'Cooling Tower &amp; Corrugated Fill'!$C$12))-32)/1.8+243.04)))/('Cooling Tower &amp; Corrugated Fill'!$C$14-(0.61094*EXP(17.625*(((C292+0.1*'Cooling Tower &amp; Corrugated Fill'!$C$12))-32)/1.8/((((C292+0.1*'Cooling Tower &amp; Corrugated Fill'!$C$12))-32)/1.8+243.04))))*(1061+0.444*((C292+0.1*'Cooling Tower &amp; Corrugated Fill'!$C$12))))-('Merkel Solver'!$C$4+'Cooling Tower &amp; Corrugated Fill'!$C$13*0.1*'Cooling Tower &amp; Corrugated Fill'!$C$12)</f>
        <v/>
      </c>
      <c r="E292" s="14">
        <f>(0.24*((C292+0.4*'Cooling Tower &amp; Corrugated Fill'!$C$12))+0.62198*(0.61094*EXP(17.625*(((C292+0.4*'Cooling Tower &amp; Corrugated Fill'!$C$12))-32)/1.8/((((C292+0.4*'Cooling Tower &amp; Corrugated Fill'!$C$12))-32)/1.8+243.04)))/('Cooling Tower &amp; Corrugated Fill'!$C$14-(0.61094*EXP(17.625*(((C292+0.4*'Cooling Tower &amp; Corrugated Fill'!$C$12))-32)/1.8/((((C292+0.4*'Cooling Tower &amp; Corrugated Fill'!$C$12))-32)/1.8+243.04))))*(1061+0.444*((C292+0.4*'Cooling Tower &amp; Corrugated Fill'!$C$12))))-('Merkel Solver'!$C$4+'Cooling Tower &amp; Corrugated Fill'!$C$13*0.4*'Cooling Tower &amp; Corrugated Fill'!$C$12)</f>
        <v/>
      </c>
      <c r="F292" s="14">
        <f>(0.24*((C292+0.6*'Cooling Tower &amp; Corrugated Fill'!$C$12))+0.62198*(0.61094*EXP(17.625*(((C292+0.6*'Cooling Tower &amp; Corrugated Fill'!$C$12))-32)/1.8/((((C292+0.6*'Cooling Tower &amp; Corrugated Fill'!$C$12))-32)/1.8+243.04)))/('Cooling Tower &amp; Corrugated Fill'!$C$14-(0.61094*EXP(17.625*(((C292+0.6*'Cooling Tower &amp; Corrugated Fill'!$C$12))-32)/1.8/((((C292+0.6*'Cooling Tower &amp; Corrugated Fill'!$C$12))-32)/1.8+243.04))))*(1061+0.444*((C292+0.6*'Cooling Tower &amp; Corrugated Fill'!$C$12))))-('Merkel Solver'!$C$4+'Cooling Tower &amp; Corrugated Fill'!$C$13*0.6*'Cooling Tower &amp; Corrugated Fill'!$C$12)</f>
        <v/>
      </c>
      <c r="G292" s="14">
        <f>(0.24*((C292+0.9*'Cooling Tower &amp; Corrugated Fill'!$C$12))+0.62198*(0.61094*EXP(17.625*(((C292+0.9*'Cooling Tower &amp; Corrugated Fill'!$C$12))-32)/1.8/((((C292+0.9*'Cooling Tower &amp; Corrugated Fill'!$C$12))-32)/1.8+243.04)))/('Cooling Tower &amp; Corrugated Fill'!$C$14-(0.61094*EXP(17.625*(((C292+0.9*'Cooling Tower &amp; Corrugated Fill'!$C$12))-32)/1.8/((((C292+0.9*'Cooling Tower &amp; Corrugated Fill'!$C$12))-32)/1.8+243.04))))*(1061+0.444*((C292+0.9*'Cooling Tower &amp; Corrugated Fill'!$C$12))))-('Merkel Solver'!$C$4+'Cooling Tower &amp; Corrugated Fill'!$C$13*0.9*'Cooling Tower &amp; Corrugated Fill'!$C$12)</f>
        <v/>
      </c>
      <c r="H292" s="22">
        <f>IF(MIN(D292:G292)&lt;=0,99999,'Cooling Tower &amp; Corrugated Fill'!$C$12/4*(1/D292+1/E292+1/F292+1/G292))</f>
        <v/>
      </c>
    </row>
    <row r="293">
      <c r="B293" s="30" t="n">
        <v>28.7</v>
      </c>
      <c r="C293" s="12">
        <f>'Dashboard'!$C$9+B293</f>
        <v/>
      </c>
      <c r="D293" s="14">
        <f>(0.24*((C293+0.1*'Cooling Tower &amp; Corrugated Fill'!$C$12))+0.62198*(0.61094*EXP(17.625*(((C293+0.1*'Cooling Tower &amp; Corrugated Fill'!$C$12))-32)/1.8/((((C293+0.1*'Cooling Tower &amp; Corrugated Fill'!$C$12))-32)/1.8+243.04)))/('Cooling Tower &amp; Corrugated Fill'!$C$14-(0.61094*EXP(17.625*(((C293+0.1*'Cooling Tower &amp; Corrugated Fill'!$C$12))-32)/1.8/((((C293+0.1*'Cooling Tower &amp; Corrugated Fill'!$C$12))-32)/1.8+243.04))))*(1061+0.444*((C293+0.1*'Cooling Tower &amp; Corrugated Fill'!$C$12))))-('Merkel Solver'!$C$4+'Cooling Tower &amp; Corrugated Fill'!$C$13*0.1*'Cooling Tower &amp; Corrugated Fill'!$C$12)</f>
        <v/>
      </c>
      <c r="E293" s="14">
        <f>(0.24*((C293+0.4*'Cooling Tower &amp; Corrugated Fill'!$C$12))+0.62198*(0.61094*EXP(17.625*(((C293+0.4*'Cooling Tower &amp; Corrugated Fill'!$C$12))-32)/1.8/((((C293+0.4*'Cooling Tower &amp; Corrugated Fill'!$C$12))-32)/1.8+243.04)))/('Cooling Tower &amp; Corrugated Fill'!$C$14-(0.61094*EXP(17.625*(((C293+0.4*'Cooling Tower &amp; Corrugated Fill'!$C$12))-32)/1.8/((((C293+0.4*'Cooling Tower &amp; Corrugated Fill'!$C$12))-32)/1.8+243.04))))*(1061+0.444*((C293+0.4*'Cooling Tower &amp; Corrugated Fill'!$C$12))))-('Merkel Solver'!$C$4+'Cooling Tower &amp; Corrugated Fill'!$C$13*0.4*'Cooling Tower &amp; Corrugated Fill'!$C$12)</f>
        <v/>
      </c>
      <c r="F293" s="14">
        <f>(0.24*((C293+0.6*'Cooling Tower &amp; Corrugated Fill'!$C$12))+0.62198*(0.61094*EXP(17.625*(((C293+0.6*'Cooling Tower &amp; Corrugated Fill'!$C$12))-32)/1.8/((((C293+0.6*'Cooling Tower &amp; Corrugated Fill'!$C$12))-32)/1.8+243.04)))/('Cooling Tower &amp; Corrugated Fill'!$C$14-(0.61094*EXP(17.625*(((C293+0.6*'Cooling Tower &amp; Corrugated Fill'!$C$12))-32)/1.8/((((C293+0.6*'Cooling Tower &amp; Corrugated Fill'!$C$12))-32)/1.8+243.04))))*(1061+0.444*((C293+0.6*'Cooling Tower &amp; Corrugated Fill'!$C$12))))-('Merkel Solver'!$C$4+'Cooling Tower &amp; Corrugated Fill'!$C$13*0.6*'Cooling Tower &amp; Corrugated Fill'!$C$12)</f>
        <v/>
      </c>
      <c r="G293" s="14">
        <f>(0.24*((C293+0.9*'Cooling Tower &amp; Corrugated Fill'!$C$12))+0.62198*(0.61094*EXP(17.625*(((C293+0.9*'Cooling Tower &amp; Corrugated Fill'!$C$12))-32)/1.8/((((C293+0.9*'Cooling Tower &amp; Corrugated Fill'!$C$12))-32)/1.8+243.04)))/('Cooling Tower &amp; Corrugated Fill'!$C$14-(0.61094*EXP(17.625*(((C293+0.9*'Cooling Tower &amp; Corrugated Fill'!$C$12))-32)/1.8/((((C293+0.9*'Cooling Tower &amp; Corrugated Fill'!$C$12))-32)/1.8+243.04))))*(1061+0.444*((C293+0.9*'Cooling Tower &amp; Corrugated Fill'!$C$12))))-('Merkel Solver'!$C$4+'Cooling Tower &amp; Corrugated Fill'!$C$13*0.9*'Cooling Tower &amp; Corrugated Fill'!$C$12)</f>
        <v/>
      </c>
      <c r="H293" s="22">
        <f>IF(MIN(D293:G293)&lt;=0,99999,'Cooling Tower &amp; Corrugated Fill'!$C$12/4*(1/D293+1/E293+1/F293+1/G293))</f>
        <v/>
      </c>
    </row>
    <row r="294">
      <c r="B294" s="30" t="n">
        <v>28.8</v>
      </c>
      <c r="C294" s="12">
        <f>'Dashboard'!$C$9+B294</f>
        <v/>
      </c>
      <c r="D294" s="14">
        <f>(0.24*((C294+0.1*'Cooling Tower &amp; Corrugated Fill'!$C$12))+0.62198*(0.61094*EXP(17.625*(((C294+0.1*'Cooling Tower &amp; Corrugated Fill'!$C$12))-32)/1.8/((((C294+0.1*'Cooling Tower &amp; Corrugated Fill'!$C$12))-32)/1.8+243.04)))/('Cooling Tower &amp; Corrugated Fill'!$C$14-(0.61094*EXP(17.625*(((C294+0.1*'Cooling Tower &amp; Corrugated Fill'!$C$12))-32)/1.8/((((C294+0.1*'Cooling Tower &amp; Corrugated Fill'!$C$12))-32)/1.8+243.04))))*(1061+0.444*((C294+0.1*'Cooling Tower &amp; Corrugated Fill'!$C$12))))-('Merkel Solver'!$C$4+'Cooling Tower &amp; Corrugated Fill'!$C$13*0.1*'Cooling Tower &amp; Corrugated Fill'!$C$12)</f>
        <v/>
      </c>
      <c r="E294" s="14">
        <f>(0.24*((C294+0.4*'Cooling Tower &amp; Corrugated Fill'!$C$12))+0.62198*(0.61094*EXP(17.625*(((C294+0.4*'Cooling Tower &amp; Corrugated Fill'!$C$12))-32)/1.8/((((C294+0.4*'Cooling Tower &amp; Corrugated Fill'!$C$12))-32)/1.8+243.04)))/('Cooling Tower &amp; Corrugated Fill'!$C$14-(0.61094*EXP(17.625*(((C294+0.4*'Cooling Tower &amp; Corrugated Fill'!$C$12))-32)/1.8/((((C294+0.4*'Cooling Tower &amp; Corrugated Fill'!$C$12))-32)/1.8+243.04))))*(1061+0.444*((C294+0.4*'Cooling Tower &amp; Corrugated Fill'!$C$12))))-('Merkel Solver'!$C$4+'Cooling Tower &amp; Corrugated Fill'!$C$13*0.4*'Cooling Tower &amp; Corrugated Fill'!$C$12)</f>
        <v/>
      </c>
      <c r="F294" s="14">
        <f>(0.24*((C294+0.6*'Cooling Tower &amp; Corrugated Fill'!$C$12))+0.62198*(0.61094*EXP(17.625*(((C294+0.6*'Cooling Tower &amp; Corrugated Fill'!$C$12))-32)/1.8/((((C294+0.6*'Cooling Tower &amp; Corrugated Fill'!$C$12))-32)/1.8+243.04)))/('Cooling Tower &amp; Corrugated Fill'!$C$14-(0.61094*EXP(17.625*(((C294+0.6*'Cooling Tower &amp; Corrugated Fill'!$C$12))-32)/1.8/((((C294+0.6*'Cooling Tower &amp; Corrugated Fill'!$C$12))-32)/1.8+243.04))))*(1061+0.444*((C294+0.6*'Cooling Tower &amp; Corrugated Fill'!$C$12))))-('Merkel Solver'!$C$4+'Cooling Tower &amp; Corrugated Fill'!$C$13*0.6*'Cooling Tower &amp; Corrugated Fill'!$C$12)</f>
        <v/>
      </c>
      <c r="G294" s="14">
        <f>(0.24*((C294+0.9*'Cooling Tower &amp; Corrugated Fill'!$C$12))+0.62198*(0.61094*EXP(17.625*(((C294+0.9*'Cooling Tower &amp; Corrugated Fill'!$C$12))-32)/1.8/((((C294+0.9*'Cooling Tower &amp; Corrugated Fill'!$C$12))-32)/1.8+243.04)))/('Cooling Tower &amp; Corrugated Fill'!$C$14-(0.61094*EXP(17.625*(((C294+0.9*'Cooling Tower &amp; Corrugated Fill'!$C$12))-32)/1.8/((((C294+0.9*'Cooling Tower &amp; Corrugated Fill'!$C$12))-32)/1.8+243.04))))*(1061+0.444*((C294+0.9*'Cooling Tower &amp; Corrugated Fill'!$C$12))))-('Merkel Solver'!$C$4+'Cooling Tower &amp; Corrugated Fill'!$C$13*0.9*'Cooling Tower &amp; Corrugated Fill'!$C$12)</f>
        <v/>
      </c>
      <c r="H294" s="22">
        <f>IF(MIN(D294:G294)&lt;=0,99999,'Cooling Tower &amp; Corrugated Fill'!$C$12/4*(1/D294+1/E294+1/F294+1/G294))</f>
        <v/>
      </c>
    </row>
    <row r="295">
      <c r="B295" s="30" t="n">
        <v>28.9</v>
      </c>
      <c r="C295" s="12">
        <f>'Dashboard'!$C$9+B295</f>
        <v/>
      </c>
      <c r="D295" s="14">
        <f>(0.24*((C295+0.1*'Cooling Tower &amp; Corrugated Fill'!$C$12))+0.62198*(0.61094*EXP(17.625*(((C295+0.1*'Cooling Tower &amp; Corrugated Fill'!$C$12))-32)/1.8/((((C295+0.1*'Cooling Tower &amp; Corrugated Fill'!$C$12))-32)/1.8+243.04)))/('Cooling Tower &amp; Corrugated Fill'!$C$14-(0.61094*EXP(17.625*(((C295+0.1*'Cooling Tower &amp; Corrugated Fill'!$C$12))-32)/1.8/((((C295+0.1*'Cooling Tower &amp; Corrugated Fill'!$C$12))-32)/1.8+243.04))))*(1061+0.444*((C295+0.1*'Cooling Tower &amp; Corrugated Fill'!$C$12))))-('Merkel Solver'!$C$4+'Cooling Tower &amp; Corrugated Fill'!$C$13*0.1*'Cooling Tower &amp; Corrugated Fill'!$C$12)</f>
        <v/>
      </c>
      <c r="E295" s="14">
        <f>(0.24*((C295+0.4*'Cooling Tower &amp; Corrugated Fill'!$C$12))+0.62198*(0.61094*EXP(17.625*(((C295+0.4*'Cooling Tower &amp; Corrugated Fill'!$C$12))-32)/1.8/((((C295+0.4*'Cooling Tower &amp; Corrugated Fill'!$C$12))-32)/1.8+243.04)))/('Cooling Tower &amp; Corrugated Fill'!$C$14-(0.61094*EXP(17.625*(((C295+0.4*'Cooling Tower &amp; Corrugated Fill'!$C$12))-32)/1.8/((((C295+0.4*'Cooling Tower &amp; Corrugated Fill'!$C$12))-32)/1.8+243.04))))*(1061+0.444*((C295+0.4*'Cooling Tower &amp; Corrugated Fill'!$C$12))))-('Merkel Solver'!$C$4+'Cooling Tower &amp; Corrugated Fill'!$C$13*0.4*'Cooling Tower &amp; Corrugated Fill'!$C$12)</f>
        <v/>
      </c>
      <c r="F295" s="14">
        <f>(0.24*((C295+0.6*'Cooling Tower &amp; Corrugated Fill'!$C$12))+0.62198*(0.61094*EXP(17.625*(((C295+0.6*'Cooling Tower &amp; Corrugated Fill'!$C$12))-32)/1.8/((((C295+0.6*'Cooling Tower &amp; Corrugated Fill'!$C$12))-32)/1.8+243.04)))/('Cooling Tower &amp; Corrugated Fill'!$C$14-(0.61094*EXP(17.625*(((C295+0.6*'Cooling Tower &amp; Corrugated Fill'!$C$12))-32)/1.8/((((C295+0.6*'Cooling Tower &amp; Corrugated Fill'!$C$12))-32)/1.8+243.04))))*(1061+0.444*((C295+0.6*'Cooling Tower &amp; Corrugated Fill'!$C$12))))-('Merkel Solver'!$C$4+'Cooling Tower &amp; Corrugated Fill'!$C$13*0.6*'Cooling Tower &amp; Corrugated Fill'!$C$12)</f>
        <v/>
      </c>
      <c r="G295" s="14">
        <f>(0.24*((C295+0.9*'Cooling Tower &amp; Corrugated Fill'!$C$12))+0.62198*(0.61094*EXP(17.625*(((C295+0.9*'Cooling Tower &amp; Corrugated Fill'!$C$12))-32)/1.8/((((C295+0.9*'Cooling Tower &amp; Corrugated Fill'!$C$12))-32)/1.8+243.04)))/('Cooling Tower &amp; Corrugated Fill'!$C$14-(0.61094*EXP(17.625*(((C295+0.9*'Cooling Tower &amp; Corrugated Fill'!$C$12))-32)/1.8/((((C295+0.9*'Cooling Tower &amp; Corrugated Fill'!$C$12))-32)/1.8+243.04))))*(1061+0.444*((C295+0.9*'Cooling Tower &amp; Corrugated Fill'!$C$12))))-('Merkel Solver'!$C$4+'Cooling Tower &amp; Corrugated Fill'!$C$13*0.9*'Cooling Tower &amp; Corrugated Fill'!$C$12)</f>
        <v/>
      </c>
      <c r="H295" s="22">
        <f>IF(MIN(D295:G295)&lt;=0,99999,'Cooling Tower &amp; Corrugated Fill'!$C$12/4*(1/D295+1/E295+1/F295+1/G295))</f>
        <v/>
      </c>
    </row>
    <row r="296">
      <c r="B296" s="30" t="n">
        <v>29</v>
      </c>
      <c r="C296" s="12">
        <f>'Dashboard'!$C$9+B296</f>
        <v/>
      </c>
      <c r="D296" s="14">
        <f>(0.24*((C296+0.1*'Cooling Tower &amp; Corrugated Fill'!$C$12))+0.62198*(0.61094*EXP(17.625*(((C296+0.1*'Cooling Tower &amp; Corrugated Fill'!$C$12))-32)/1.8/((((C296+0.1*'Cooling Tower &amp; Corrugated Fill'!$C$12))-32)/1.8+243.04)))/('Cooling Tower &amp; Corrugated Fill'!$C$14-(0.61094*EXP(17.625*(((C296+0.1*'Cooling Tower &amp; Corrugated Fill'!$C$12))-32)/1.8/((((C296+0.1*'Cooling Tower &amp; Corrugated Fill'!$C$12))-32)/1.8+243.04))))*(1061+0.444*((C296+0.1*'Cooling Tower &amp; Corrugated Fill'!$C$12))))-('Merkel Solver'!$C$4+'Cooling Tower &amp; Corrugated Fill'!$C$13*0.1*'Cooling Tower &amp; Corrugated Fill'!$C$12)</f>
        <v/>
      </c>
      <c r="E296" s="14">
        <f>(0.24*((C296+0.4*'Cooling Tower &amp; Corrugated Fill'!$C$12))+0.62198*(0.61094*EXP(17.625*(((C296+0.4*'Cooling Tower &amp; Corrugated Fill'!$C$12))-32)/1.8/((((C296+0.4*'Cooling Tower &amp; Corrugated Fill'!$C$12))-32)/1.8+243.04)))/('Cooling Tower &amp; Corrugated Fill'!$C$14-(0.61094*EXP(17.625*(((C296+0.4*'Cooling Tower &amp; Corrugated Fill'!$C$12))-32)/1.8/((((C296+0.4*'Cooling Tower &amp; Corrugated Fill'!$C$12))-32)/1.8+243.04))))*(1061+0.444*((C296+0.4*'Cooling Tower &amp; Corrugated Fill'!$C$12))))-('Merkel Solver'!$C$4+'Cooling Tower &amp; Corrugated Fill'!$C$13*0.4*'Cooling Tower &amp; Corrugated Fill'!$C$12)</f>
        <v/>
      </c>
      <c r="F296" s="14">
        <f>(0.24*((C296+0.6*'Cooling Tower &amp; Corrugated Fill'!$C$12))+0.62198*(0.61094*EXP(17.625*(((C296+0.6*'Cooling Tower &amp; Corrugated Fill'!$C$12))-32)/1.8/((((C296+0.6*'Cooling Tower &amp; Corrugated Fill'!$C$12))-32)/1.8+243.04)))/('Cooling Tower &amp; Corrugated Fill'!$C$14-(0.61094*EXP(17.625*(((C296+0.6*'Cooling Tower &amp; Corrugated Fill'!$C$12))-32)/1.8/((((C296+0.6*'Cooling Tower &amp; Corrugated Fill'!$C$12))-32)/1.8+243.04))))*(1061+0.444*((C296+0.6*'Cooling Tower &amp; Corrugated Fill'!$C$12))))-('Merkel Solver'!$C$4+'Cooling Tower &amp; Corrugated Fill'!$C$13*0.6*'Cooling Tower &amp; Corrugated Fill'!$C$12)</f>
        <v/>
      </c>
      <c r="G296" s="14">
        <f>(0.24*((C296+0.9*'Cooling Tower &amp; Corrugated Fill'!$C$12))+0.62198*(0.61094*EXP(17.625*(((C296+0.9*'Cooling Tower &amp; Corrugated Fill'!$C$12))-32)/1.8/((((C296+0.9*'Cooling Tower &amp; Corrugated Fill'!$C$12))-32)/1.8+243.04)))/('Cooling Tower &amp; Corrugated Fill'!$C$14-(0.61094*EXP(17.625*(((C296+0.9*'Cooling Tower &amp; Corrugated Fill'!$C$12))-32)/1.8/((((C296+0.9*'Cooling Tower &amp; Corrugated Fill'!$C$12))-32)/1.8+243.04))))*(1061+0.444*((C296+0.9*'Cooling Tower &amp; Corrugated Fill'!$C$12))))-('Merkel Solver'!$C$4+'Cooling Tower &amp; Corrugated Fill'!$C$13*0.9*'Cooling Tower &amp; Corrugated Fill'!$C$12)</f>
        <v/>
      </c>
      <c r="H296" s="22">
        <f>IF(MIN(D296:G296)&lt;=0,99999,'Cooling Tower &amp; Corrugated Fill'!$C$12/4*(1/D296+1/E296+1/F296+1/G296))</f>
        <v/>
      </c>
    </row>
    <row r="297">
      <c r="B297" s="30" t="n">
        <v>29.1</v>
      </c>
      <c r="C297" s="12">
        <f>'Dashboard'!$C$9+B297</f>
        <v/>
      </c>
      <c r="D297" s="14">
        <f>(0.24*((C297+0.1*'Cooling Tower &amp; Corrugated Fill'!$C$12))+0.62198*(0.61094*EXP(17.625*(((C297+0.1*'Cooling Tower &amp; Corrugated Fill'!$C$12))-32)/1.8/((((C297+0.1*'Cooling Tower &amp; Corrugated Fill'!$C$12))-32)/1.8+243.04)))/('Cooling Tower &amp; Corrugated Fill'!$C$14-(0.61094*EXP(17.625*(((C297+0.1*'Cooling Tower &amp; Corrugated Fill'!$C$12))-32)/1.8/((((C297+0.1*'Cooling Tower &amp; Corrugated Fill'!$C$12))-32)/1.8+243.04))))*(1061+0.444*((C297+0.1*'Cooling Tower &amp; Corrugated Fill'!$C$12))))-('Merkel Solver'!$C$4+'Cooling Tower &amp; Corrugated Fill'!$C$13*0.1*'Cooling Tower &amp; Corrugated Fill'!$C$12)</f>
        <v/>
      </c>
      <c r="E297" s="14">
        <f>(0.24*((C297+0.4*'Cooling Tower &amp; Corrugated Fill'!$C$12))+0.62198*(0.61094*EXP(17.625*(((C297+0.4*'Cooling Tower &amp; Corrugated Fill'!$C$12))-32)/1.8/((((C297+0.4*'Cooling Tower &amp; Corrugated Fill'!$C$12))-32)/1.8+243.04)))/('Cooling Tower &amp; Corrugated Fill'!$C$14-(0.61094*EXP(17.625*(((C297+0.4*'Cooling Tower &amp; Corrugated Fill'!$C$12))-32)/1.8/((((C297+0.4*'Cooling Tower &amp; Corrugated Fill'!$C$12))-32)/1.8+243.04))))*(1061+0.444*((C297+0.4*'Cooling Tower &amp; Corrugated Fill'!$C$12))))-('Merkel Solver'!$C$4+'Cooling Tower &amp; Corrugated Fill'!$C$13*0.4*'Cooling Tower &amp; Corrugated Fill'!$C$12)</f>
        <v/>
      </c>
      <c r="F297" s="14">
        <f>(0.24*((C297+0.6*'Cooling Tower &amp; Corrugated Fill'!$C$12))+0.62198*(0.61094*EXP(17.625*(((C297+0.6*'Cooling Tower &amp; Corrugated Fill'!$C$12))-32)/1.8/((((C297+0.6*'Cooling Tower &amp; Corrugated Fill'!$C$12))-32)/1.8+243.04)))/('Cooling Tower &amp; Corrugated Fill'!$C$14-(0.61094*EXP(17.625*(((C297+0.6*'Cooling Tower &amp; Corrugated Fill'!$C$12))-32)/1.8/((((C297+0.6*'Cooling Tower &amp; Corrugated Fill'!$C$12))-32)/1.8+243.04))))*(1061+0.444*((C297+0.6*'Cooling Tower &amp; Corrugated Fill'!$C$12))))-('Merkel Solver'!$C$4+'Cooling Tower &amp; Corrugated Fill'!$C$13*0.6*'Cooling Tower &amp; Corrugated Fill'!$C$12)</f>
        <v/>
      </c>
      <c r="G297" s="14">
        <f>(0.24*((C297+0.9*'Cooling Tower &amp; Corrugated Fill'!$C$12))+0.62198*(0.61094*EXP(17.625*(((C297+0.9*'Cooling Tower &amp; Corrugated Fill'!$C$12))-32)/1.8/((((C297+0.9*'Cooling Tower &amp; Corrugated Fill'!$C$12))-32)/1.8+243.04)))/('Cooling Tower &amp; Corrugated Fill'!$C$14-(0.61094*EXP(17.625*(((C297+0.9*'Cooling Tower &amp; Corrugated Fill'!$C$12))-32)/1.8/((((C297+0.9*'Cooling Tower &amp; Corrugated Fill'!$C$12))-32)/1.8+243.04))))*(1061+0.444*((C297+0.9*'Cooling Tower &amp; Corrugated Fill'!$C$12))))-('Merkel Solver'!$C$4+'Cooling Tower &amp; Corrugated Fill'!$C$13*0.9*'Cooling Tower &amp; Corrugated Fill'!$C$12)</f>
        <v/>
      </c>
      <c r="H297" s="22">
        <f>IF(MIN(D297:G297)&lt;=0,99999,'Cooling Tower &amp; Corrugated Fill'!$C$12/4*(1/D297+1/E297+1/F297+1/G297))</f>
        <v/>
      </c>
    </row>
    <row r="298">
      <c r="B298" s="30" t="n">
        <v>29.2</v>
      </c>
      <c r="C298" s="12">
        <f>'Dashboard'!$C$9+B298</f>
        <v/>
      </c>
      <c r="D298" s="14">
        <f>(0.24*((C298+0.1*'Cooling Tower &amp; Corrugated Fill'!$C$12))+0.62198*(0.61094*EXP(17.625*(((C298+0.1*'Cooling Tower &amp; Corrugated Fill'!$C$12))-32)/1.8/((((C298+0.1*'Cooling Tower &amp; Corrugated Fill'!$C$12))-32)/1.8+243.04)))/('Cooling Tower &amp; Corrugated Fill'!$C$14-(0.61094*EXP(17.625*(((C298+0.1*'Cooling Tower &amp; Corrugated Fill'!$C$12))-32)/1.8/((((C298+0.1*'Cooling Tower &amp; Corrugated Fill'!$C$12))-32)/1.8+243.04))))*(1061+0.444*((C298+0.1*'Cooling Tower &amp; Corrugated Fill'!$C$12))))-('Merkel Solver'!$C$4+'Cooling Tower &amp; Corrugated Fill'!$C$13*0.1*'Cooling Tower &amp; Corrugated Fill'!$C$12)</f>
        <v/>
      </c>
      <c r="E298" s="14">
        <f>(0.24*((C298+0.4*'Cooling Tower &amp; Corrugated Fill'!$C$12))+0.62198*(0.61094*EXP(17.625*(((C298+0.4*'Cooling Tower &amp; Corrugated Fill'!$C$12))-32)/1.8/((((C298+0.4*'Cooling Tower &amp; Corrugated Fill'!$C$12))-32)/1.8+243.04)))/('Cooling Tower &amp; Corrugated Fill'!$C$14-(0.61094*EXP(17.625*(((C298+0.4*'Cooling Tower &amp; Corrugated Fill'!$C$12))-32)/1.8/((((C298+0.4*'Cooling Tower &amp; Corrugated Fill'!$C$12))-32)/1.8+243.04))))*(1061+0.444*((C298+0.4*'Cooling Tower &amp; Corrugated Fill'!$C$12))))-('Merkel Solver'!$C$4+'Cooling Tower &amp; Corrugated Fill'!$C$13*0.4*'Cooling Tower &amp; Corrugated Fill'!$C$12)</f>
        <v/>
      </c>
      <c r="F298" s="14">
        <f>(0.24*((C298+0.6*'Cooling Tower &amp; Corrugated Fill'!$C$12))+0.62198*(0.61094*EXP(17.625*(((C298+0.6*'Cooling Tower &amp; Corrugated Fill'!$C$12))-32)/1.8/((((C298+0.6*'Cooling Tower &amp; Corrugated Fill'!$C$12))-32)/1.8+243.04)))/('Cooling Tower &amp; Corrugated Fill'!$C$14-(0.61094*EXP(17.625*(((C298+0.6*'Cooling Tower &amp; Corrugated Fill'!$C$12))-32)/1.8/((((C298+0.6*'Cooling Tower &amp; Corrugated Fill'!$C$12))-32)/1.8+243.04))))*(1061+0.444*((C298+0.6*'Cooling Tower &amp; Corrugated Fill'!$C$12))))-('Merkel Solver'!$C$4+'Cooling Tower &amp; Corrugated Fill'!$C$13*0.6*'Cooling Tower &amp; Corrugated Fill'!$C$12)</f>
        <v/>
      </c>
      <c r="G298" s="14">
        <f>(0.24*((C298+0.9*'Cooling Tower &amp; Corrugated Fill'!$C$12))+0.62198*(0.61094*EXP(17.625*(((C298+0.9*'Cooling Tower &amp; Corrugated Fill'!$C$12))-32)/1.8/((((C298+0.9*'Cooling Tower &amp; Corrugated Fill'!$C$12))-32)/1.8+243.04)))/('Cooling Tower &amp; Corrugated Fill'!$C$14-(0.61094*EXP(17.625*(((C298+0.9*'Cooling Tower &amp; Corrugated Fill'!$C$12))-32)/1.8/((((C298+0.9*'Cooling Tower &amp; Corrugated Fill'!$C$12))-32)/1.8+243.04))))*(1061+0.444*((C298+0.9*'Cooling Tower &amp; Corrugated Fill'!$C$12))))-('Merkel Solver'!$C$4+'Cooling Tower &amp; Corrugated Fill'!$C$13*0.9*'Cooling Tower &amp; Corrugated Fill'!$C$12)</f>
        <v/>
      </c>
      <c r="H298" s="22">
        <f>IF(MIN(D298:G298)&lt;=0,99999,'Cooling Tower &amp; Corrugated Fill'!$C$12/4*(1/D298+1/E298+1/F298+1/G298))</f>
        <v/>
      </c>
    </row>
    <row r="299">
      <c r="B299" s="30" t="n">
        <v>29.3</v>
      </c>
      <c r="C299" s="12">
        <f>'Dashboard'!$C$9+B299</f>
        <v/>
      </c>
      <c r="D299" s="14">
        <f>(0.24*((C299+0.1*'Cooling Tower &amp; Corrugated Fill'!$C$12))+0.62198*(0.61094*EXP(17.625*(((C299+0.1*'Cooling Tower &amp; Corrugated Fill'!$C$12))-32)/1.8/((((C299+0.1*'Cooling Tower &amp; Corrugated Fill'!$C$12))-32)/1.8+243.04)))/('Cooling Tower &amp; Corrugated Fill'!$C$14-(0.61094*EXP(17.625*(((C299+0.1*'Cooling Tower &amp; Corrugated Fill'!$C$12))-32)/1.8/((((C299+0.1*'Cooling Tower &amp; Corrugated Fill'!$C$12))-32)/1.8+243.04))))*(1061+0.444*((C299+0.1*'Cooling Tower &amp; Corrugated Fill'!$C$12))))-('Merkel Solver'!$C$4+'Cooling Tower &amp; Corrugated Fill'!$C$13*0.1*'Cooling Tower &amp; Corrugated Fill'!$C$12)</f>
        <v/>
      </c>
      <c r="E299" s="14">
        <f>(0.24*((C299+0.4*'Cooling Tower &amp; Corrugated Fill'!$C$12))+0.62198*(0.61094*EXP(17.625*(((C299+0.4*'Cooling Tower &amp; Corrugated Fill'!$C$12))-32)/1.8/((((C299+0.4*'Cooling Tower &amp; Corrugated Fill'!$C$12))-32)/1.8+243.04)))/('Cooling Tower &amp; Corrugated Fill'!$C$14-(0.61094*EXP(17.625*(((C299+0.4*'Cooling Tower &amp; Corrugated Fill'!$C$12))-32)/1.8/((((C299+0.4*'Cooling Tower &amp; Corrugated Fill'!$C$12))-32)/1.8+243.04))))*(1061+0.444*((C299+0.4*'Cooling Tower &amp; Corrugated Fill'!$C$12))))-('Merkel Solver'!$C$4+'Cooling Tower &amp; Corrugated Fill'!$C$13*0.4*'Cooling Tower &amp; Corrugated Fill'!$C$12)</f>
        <v/>
      </c>
      <c r="F299" s="14">
        <f>(0.24*((C299+0.6*'Cooling Tower &amp; Corrugated Fill'!$C$12))+0.62198*(0.61094*EXP(17.625*(((C299+0.6*'Cooling Tower &amp; Corrugated Fill'!$C$12))-32)/1.8/((((C299+0.6*'Cooling Tower &amp; Corrugated Fill'!$C$12))-32)/1.8+243.04)))/('Cooling Tower &amp; Corrugated Fill'!$C$14-(0.61094*EXP(17.625*(((C299+0.6*'Cooling Tower &amp; Corrugated Fill'!$C$12))-32)/1.8/((((C299+0.6*'Cooling Tower &amp; Corrugated Fill'!$C$12))-32)/1.8+243.04))))*(1061+0.444*((C299+0.6*'Cooling Tower &amp; Corrugated Fill'!$C$12))))-('Merkel Solver'!$C$4+'Cooling Tower &amp; Corrugated Fill'!$C$13*0.6*'Cooling Tower &amp; Corrugated Fill'!$C$12)</f>
        <v/>
      </c>
      <c r="G299" s="14">
        <f>(0.24*((C299+0.9*'Cooling Tower &amp; Corrugated Fill'!$C$12))+0.62198*(0.61094*EXP(17.625*(((C299+0.9*'Cooling Tower &amp; Corrugated Fill'!$C$12))-32)/1.8/((((C299+0.9*'Cooling Tower &amp; Corrugated Fill'!$C$12))-32)/1.8+243.04)))/('Cooling Tower &amp; Corrugated Fill'!$C$14-(0.61094*EXP(17.625*(((C299+0.9*'Cooling Tower &amp; Corrugated Fill'!$C$12))-32)/1.8/((((C299+0.9*'Cooling Tower &amp; Corrugated Fill'!$C$12))-32)/1.8+243.04))))*(1061+0.444*((C299+0.9*'Cooling Tower &amp; Corrugated Fill'!$C$12))))-('Merkel Solver'!$C$4+'Cooling Tower &amp; Corrugated Fill'!$C$13*0.9*'Cooling Tower &amp; Corrugated Fill'!$C$12)</f>
        <v/>
      </c>
      <c r="H299" s="22">
        <f>IF(MIN(D299:G299)&lt;=0,99999,'Cooling Tower &amp; Corrugated Fill'!$C$12/4*(1/D299+1/E299+1/F299+1/G299))</f>
        <v/>
      </c>
    </row>
    <row r="300">
      <c r="B300" s="30" t="n">
        <v>29.4</v>
      </c>
      <c r="C300" s="12">
        <f>'Dashboard'!$C$9+B300</f>
        <v/>
      </c>
      <c r="D300" s="14">
        <f>(0.24*((C300+0.1*'Cooling Tower &amp; Corrugated Fill'!$C$12))+0.62198*(0.61094*EXP(17.625*(((C300+0.1*'Cooling Tower &amp; Corrugated Fill'!$C$12))-32)/1.8/((((C300+0.1*'Cooling Tower &amp; Corrugated Fill'!$C$12))-32)/1.8+243.04)))/('Cooling Tower &amp; Corrugated Fill'!$C$14-(0.61094*EXP(17.625*(((C300+0.1*'Cooling Tower &amp; Corrugated Fill'!$C$12))-32)/1.8/((((C300+0.1*'Cooling Tower &amp; Corrugated Fill'!$C$12))-32)/1.8+243.04))))*(1061+0.444*((C300+0.1*'Cooling Tower &amp; Corrugated Fill'!$C$12))))-('Merkel Solver'!$C$4+'Cooling Tower &amp; Corrugated Fill'!$C$13*0.1*'Cooling Tower &amp; Corrugated Fill'!$C$12)</f>
        <v/>
      </c>
      <c r="E300" s="14">
        <f>(0.24*((C300+0.4*'Cooling Tower &amp; Corrugated Fill'!$C$12))+0.62198*(0.61094*EXP(17.625*(((C300+0.4*'Cooling Tower &amp; Corrugated Fill'!$C$12))-32)/1.8/((((C300+0.4*'Cooling Tower &amp; Corrugated Fill'!$C$12))-32)/1.8+243.04)))/('Cooling Tower &amp; Corrugated Fill'!$C$14-(0.61094*EXP(17.625*(((C300+0.4*'Cooling Tower &amp; Corrugated Fill'!$C$12))-32)/1.8/((((C300+0.4*'Cooling Tower &amp; Corrugated Fill'!$C$12))-32)/1.8+243.04))))*(1061+0.444*((C300+0.4*'Cooling Tower &amp; Corrugated Fill'!$C$12))))-('Merkel Solver'!$C$4+'Cooling Tower &amp; Corrugated Fill'!$C$13*0.4*'Cooling Tower &amp; Corrugated Fill'!$C$12)</f>
        <v/>
      </c>
      <c r="F300" s="14">
        <f>(0.24*((C300+0.6*'Cooling Tower &amp; Corrugated Fill'!$C$12))+0.62198*(0.61094*EXP(17.625*(((C300+0.6*'Cooling Tower &amp; Corrugated Fill'!$C$12))-32)/1.8/((((C300+0.6*'Cooling Tower &amp; Corrugated Fill'!$C$12))-32)/1.8+243.04)))/('Cooling Tower &amp; Corrugated Fill'!$C$14-(0.61094*EXP(17.625*(((C300+0.6*'Cooling Tower &amp; Corrugated Fill'!$C$12))-32)/1.8/((((C300+0.6*'Cooling Tower &amp; Corrugated Fill'!$C$12))-32)/1.8+243.04))))*(1061+0.444*((C300+0.6*'Cooling Tower &amp; Corrugated Fill'!$C$12))))-('Merkel Solver'!$C$4+'Cooling Tower &amp; Corrugated Fill'!$C$13*0.6*'Cooling Tower &amp; Corrugated Fill'!$C$12)</f>
        <v/>
      </c>
      <c r="G300" s="14">
        <f>(0.24*((C300+0.9*'Cooling Tower &amp; Corrugated Fill'!$C$12))+0.62198*(0.61094*EXP(17.625*(((C300+0.9*'Cooling Tower &amp; Corrugated Fill'!$C$12))-32)/1.8/((((C300+0.9*'Cooling Tower &amp; Corrugated Fill'!$C$12))-32)/1.8+243.04)))/('Cooling Tower &amp; Corrugated Fill'!$C$14-(0.61094*EXP(17.625*(((C300+0.9*'Cooling Tower &amp; Corrugated Fill'!$C$12))-32)/1.8/((((C300+0.9*'Cooling Tower &amp; Corrugated Fill'!$C$12))-32)/1.8+243.04))))*(1061+0.444*((C300+0.9*'Cooling Tower &amp; Corrugated Fill'!$C$12))))-('Merkel Solver'!$C$4+'Cooling Tower &amp; Corrugated Fill'!$C$13*0.9*'Cooling Tower &amp; Corrugated Fill'!$C$12)</f>
        <v/>
      </c>
      <c r="H300" s="22">
        <f>IF(MIN(D300:G300)&lt;=0,99999,'Cooling Tower &amp; Corrugated Fill'!$C$12/4*(1/D300+1/E300+1/F300+1/G300))</f>
        <v/>
      </c>
    </row>
    <row r="301">
      <c r="B301" s="30" t="n">
        <v>29.5</v>
      </c>
      <c r="C301" s="12">
        <f>'Dashboard'!$C$9+B301</f>
        <v/>
      </c>
      <c r="D301" s="14">
        <f>(0.24*((C301+0.1*'Cooling Tower &amp; Corrugated Fill'!$C$12))+0.62198*(0.61094*EXP(17.625*(((C301+0.1*'Cooling Tower &amp; Corrugated Fill'!$C$12))-32)/1.8/((((C301+0.1*'Cooling Tower &amp; Corrugated Fill'!$C$12))-32)/1.8+243.04)))/('Cooling Tower &amp; Corrugated Fill'!$C$14-(0.61094*EXP(17.625*(((C301+0.1*'Cooling Tower &amp; Corrugated Fill'!$C$12))-32)/1.8/((((C301+0.1*'Cooling Tower &amp; Corrugated Fill'!$C$12))-32)/1.8+243.04))))*(1061+0.444*((C301+0.1*'Cooling Tower &amp; Corrugated Fill'!$C$12))))-('Merkel Solver'!$C$4+'Cooling Tower &amp; Corrugated Fill'!$C$13*0.1*'Cooling Tower &amp; Corrugated Fill'!$C$12)</f>
        <v/>
      </c>
      <c r="E301" s="14">
        <f>(0.24*((C301+0.4*'Cooling Tower &amp; Corrugated Fill'!$C$12))+0.62198*(0.61094*EXP(17.625*(((C301+0.4*'Cooling Tower &amp; Corrugated Fill'!$C$12))-32)/1.8/((((C301+0.4*'Cooling Tower &amp; Corrugated Fill'!$C$12))-32)/1.8+243.04)))/('Cooling Tower &amp; Corrugated Fill'!$C$14-(0.61094*EXP(17.625*(((C301+0.4*'Cooling Tower &amp; Corrugated Fill'!$C$12))-32)/1.8/((((C301+0.4*'Cooling Tower &amp; Corrugated Fill'!$C$12))-32)/1.8+243.04))))*(1061+0.444*((C301+0.4*'Cooling Tower &amp; Corrugated Fill'!$C$12))))-('Merkel Solver'!$C$4+'Cooling Tower &amp; Corrugated Fill'!$C$13*0.4*'Cooling Tower &amp; Corrugated Fill'!$C$12)</f>
        <v/>
      </c>
      <c r="F301" s="14">
        <f>(0.24*((C301+0.6*'Cooling Tower &amp; Corrugated Fill'!$C$12))+0.62198*(0.61094*EXP(17.625*(((C301+0.6*'Cooling Tower &amp; Corrugated Fill'!$C$12))-32)/1.8/((((C301+0.6*'Cooling Tower &amp; Corrugated Fill'!$C$12))-32)/1.8+243.04)))/('Cooling Tower &amp; Corrugated Fill'!$C$14-(0.61094*EXP(17.625*(((C301+0.6*'Cooling Tower &amp; Corrugated Fill'!$C$12))-32)/1.8/((((C301+0.6*'Cooling Tower &amp; Corrugated Fill'!$C$12))-32)/1.8+243.04))))*(1061+0.444*((C301+0.6*'Cooling Tower &amp; Corrugated Fill'!$C$12))))-('Merkel Solver'!$C$4+'Cooling Tower &amp; Corrugated Fill'!$C$13*0.6*'Cooling Tower &amp; Corrugated Fill'!$C$12)</f>
        <v/>
      </c>
      <c r="G301" s="14">
        <f>(0.24*((C301+0.9*'Cooling Tower &amp; Corrugated Fill'!$C$12))+0.62198*(0.61094*EXP(17.625*(((C301+0.9*'Cooling Tower &amp; Corrugated Fill'!$C$12))-32)/1.8/((((C301+0.9*'Cooling Tower &amp; Corrugated Fill'!$C$12))-32)/1.8+243.04)))/('Cooling Tower &amp; Corrugated Fill'!$C$14-(0.61094*EXP(17.625*(((C301+0.9*'Cooling Tower &amp; Corrugated Fill'!$C$12))-32)/1.8/((((C301+0.9*'Cooling Tower &amp; Corrugated Fill'!$C$12))-32)/1.8+243.04))))*(1061+0.444*((C301+0.9*'Cooling Tower &amp; Corrugated Fill'!$C$12))))-('Merkel Solver'!$C$4+'Cooling Tower &amp; Corrugated Fill'!$C$13*0.9*'Cooling Tower &amp; Corrugated Fill'!$C$12)</f>
        <v/>
      </c>
      <c r="H301" s="22">
        <f>IF(MIN(D301:G301)&lt;=0,99999,'Cooling Tower &amp; Corrugated Fill'!$C$12/4*(1/D301+1/E301+1/F301+1/G301))</f>
        <v/>
      </c>
    </row>
    <row r="302">
      <c r="B302" s="30" t="n">
        <v>29.6</v>
      </c>
      <c r="C302" s="12">
        <f>'Dashboard'!$C$9+B302</f>
        <v/>
      </c>
      <c r="D302" s="14">
        <f>(0.24*((C302+0.1*'Cooling Tower &amp; Corrugated Fill'!$C$12))+0.62198*(0.61094*EXP(17.625*(((C302+0.1*'Cooling Tower &amp; Corrugated Fill'!$C$12))-32)/1.8/((((C302+0.1*'Cooling Tower &amp; Corrugated Fill'!$C$12))-32)/1.8+243.04)))/('Cooling Tower &amp; Corrugated Fill'!$C$14-(0.61094*EXP(17.625*(((C302+0.1*'Cooling Tower &amp; Corrugated Fill'!$C$12))-32)/1.8/((((C302+0.1*'Cooling Tower &amp; Corrugated Fill'!$C$12))-32)/1.8+243.04))))*(1061+0.444*((C302+0.1*'Cooling Tower &amp; Corrugated Fill'!$C$12))))-('Merkel Solver'!$C$4+'Cooling Tower &amp; Corrugated Fill'!$C$13*0.1*'Cooling Tower &amp; Corrugated Fill'!$C$12)</f>
        <v/>
      </c>
      <c r="E302" s="14">
        <f>(0.24*((C302+0.4*'Cooling Tower &amp; Corrugated Fill'!$C$12))+0.62198*(0.61094*EXP(17.625*(((C302+0.4*'Cooling Tower &amp; Corrugated Fill'!$C$12))-32)/1.8/((((C302+0.4*'Cooling Tower &amp; Corrugated Fill'!$C$12))-32)/1.8+243.04)))/('Cooling Tower &amp; Corrugated Fill'!$C$14-(0.61094*EXP(17.625*(((C302+0.4*'Cooling Tower &amp; Corrugated Fill'!$C$12))-32)/1.8/((((C302+0.4*'Cooling Tower &amp; Corrugated Fill'!$C$12))-32)/1.8+243.04))))*(1061+0.444*((C302+0.4*'Cooling Tower &amp; Corrugated Fill'!$C$12))))-('Merkel Solver'!$C$4+'Cooling Tower &amp; Corrugated Fill'!$C$13*0.4*'Cooling Tower &amp; Corrugated Fill'!$C$12)</f>
        <v/>
      </c>
      <c r="F302" s="14">
        <f>(0.24*((C302+0.6*'Cooling Tower &amp; Corrugated Fill'!$C$12))+0.62198*(0.61094*EXP(17.625*(((C302+0.6*'Cooling Tower &amp; Corrugated Fill'!$C$12))-32)/1.8/((((C302+0.6*'Cooling Tower &amp; Corrugated Fill'!$C$12))-32)/1.8+243.04)))/('Cooling Tower &amp; Corrugated Fill'!$C$14-(0.61094*EXP(17.625*(((C302+0.6*'Cooling Tower &amp; Corrugated Fill'!$C$12))-32)/1.8/((((C302+0.6*'Cooling Tower &amp; Corrugated Fill'!$C$12))-32)/1.8+243.04))))*(1061+0.444*((C302+0.6*'Cooling Tower &amp; Corrugated Fill'!$C$12))))-('Merkel Solver'!$C$4+'Cooling Tower &amp; Corrugated Fill'!$C$13*0.6*'Cooling Tower &amp; Corrugated Fill'!$C$12)</f>
        <v/>
      </c>
      <c r="G302" s="14">
        <f>(0.24*((C302+0.9*'Cooling Tower &amp; Corrugated Fill'!$C$12))+0.62198*(0.61094*EXP(17.625*(((C302+0.9*'Cooling Tower &amp; Corrugated Fill'!$C$12))-32)/1.8/((((C302+0.9*'Cooling Tower &amp; Corrugated Fill'!$C$12))-32)/1.8+243.04)))/('Cooling Tower &amp; Corrugated Fill'!$C$14-(0.61094*EXP(17.625*(((C302+0.9*'Cooling Tower &amp; Corrugated Fill'!$C$12))-32)/1.8/((((C302+0.9*'Cooling Tower &amp; Corrugated Fill'!$C$12))-32)/1.8+243.04))))*(1061+0.444*((C302+0.9*'Cooling Tower &amp; Corrugated Fill'!$C$12))))-('Merkel Solver'!$C$4+'Cooling Tower &amp; Corrugated Fill'!$C$13*0.9*'Cooling Tower &amp; Corrugated Fill'!$C$12)</f>
        <v/>
      </c>
      <c r="H302" s="22">
        <f>IF(MIN(D302:G302)&lt;=0,99999,'Cooling Tower &amp; Corrugated Fill'!$C$12/4*(1/D302+1/E302+1/F302+1/G302))</f>
        <v/>
      </c>
    </row>
    <row r="303">
      <c r="B303" s="30" t="n">
        <v>29.7</v>
      </c>
      <c r="C303" s="12">
        <f>'Dashboard'!$C$9+B303</f>
        <v/>
      </c>
      <c r="D303" s="14">
        <f>(0.24*((C303+0.1*'Cooling Tower &amp; Corrugated Fill'!$C$12))+0.62198*(0.61094*EXP(17.625*(((C303+0.1*'Cooling Tower &amp; Corrugated Fill'!$C$12))-32)/1.8/((((C303+0.1*'Cooling Tower &amp; Corrugated Fill'!$C$12))-32)/1.8+243.04)))/('Cooling Tower &amp; Corrugated Fill'!$C$14-(0.61094*EXP(17.625*(((C303+0.1*'Cooling Tower &amp; Corrugated Fill'!$C$12))-32)/1.8/((((C303+0.1*'Cooling Tower &amp; Corrugated Fill'!$C$12))-32)/1.8+243.04))))*(1061+0.444*((C303+0.1*'Cooling Tower &amp; Corrugated Fill'!$C$12))))-('Merkel Solver'!$C$4+'Cooling Tower &amp; Corrugated Fill'!$C$13*0.1*'Cooling Tower &amp; Corrugated Fill'!$C$12)</f>
        <v/>
      </c>
      <c r="E303" s="14">
        <f>(0.24*((C303+0.4*'Cooling Tower &amp; Corrugated Fill'!$C$12))+0.62198*(0.61094*EXP(17.625*(((C303+0.4*'Cooling Tower &amp; Corrugated Fill'!$C$12))-32)/1.8/((((C303+0.4*'Cooling Tower &amp; Corrugated Fill'!$C$12))-32)/1.8+243.04)))/('Cooling Tower &amp; Corrugated Fill'!$C$14-(0.61094*EXP(17.625*(((C303+0.4*'Cooling Tower &amp; Corrugated Fill'!$C$12))-32)/1.8/((((C303+0.4*'Cooling Tower &amp; Corrugated Fill'!$C$12))-32)/1.8+243.04))))*(1061+0.444*((C303+0.4*'Cooling Tower &amp; Corrugated Fill'!$C$12))))-('Merkel Solver'!$C$4+'Cooling Tower &amp; Corrugated Fill'!$C$13*0.4*'Cooling Tower &amp; Corrugated Fill'!$C$12)</f>
        <v/>
      </c>
      <c r="F303" s="14">
        <f>(0.24*((C303+0.6*'Cooling Tower &amp; Corrugated Fill'!$C$12))+0.62198*(0.61094*EXP(17.625*(((C303+0.6*'Cooling Tower &amp; Corrugated Fill'!$C$12))-32)/1.8/((((C303+0.6*'Cooling Tower &amp; Corrugated Fill'!$C$12))-32)/1.8+243.04)))/('Cooling Tower &amp; Corrugated Fill'!$C$14-(0.61094*EXP(17.625*(((C303+0.6*'Cooling Tower &amp; Corrugated Fill'!$C$12))-32)/1.8/((((C303+0.6*'Cooling Tower &amp; Corrugated Fill'!$C$12))-32)/1.8+243.04))))*(1061+0.444*((C303+0.6*'Cooling Tower &amp; Corrugated Fill'!$C$12))))-('Merkel Solver'!$C$4+'Cooling Tower &amp; Corrugated Fill'!$C$13*0.6*'Cooling Tower &amp; Corrugated Fill'!$C$12)</f>
        <v/>
      </c>
      <c r="G303" s="14">
        <f>(0.24*((C303+0.9*'Cooling Tower &amp; Corrugated Fill'!$C$12))+0.62198*(0.61094*EXP(17.625*(((C303+0.9*'Cooling Tower &amp; Corrugated Fill'!$C$12))-32)/1.8/((((C303+0.9*'Cooling Tower &amp; Corrugated Fill'!$C$12))-32)/1.8+243.04)))/('Cooling Tower &amp; Corrugated Fill'!$C$14-(0.61094*EXP(17.625*(((C303+0.9*'Cooling Tower &amp; Corrugated Fill'!$C$12))-32)/1.8/((((C303+0.9*'Cooling Tower &amp; Corrugated Fill'!$C$12))-32)/1.8+243.04))))*(1061+0.444*((C303+0.9*'Cooling Tower &amp; Corrugated Fill'!$C$12))))-('Merkel Solver'!$C$4+'Cooling Tower &amp; Corrugated Fill'!$C$13*0.9*'Cooling Tower &amp; Corrugated Fill'!$C$12)</f>
        <v/>
      </c>
      <c r="H303" s="22">
        <f>IF(MIN(D303:G303)&lt;=0,99999,'Cooling Tower &amp; Corrugated Fill'!$C$12/4*(1/D303+1/E303+1/F303+1/G303))</f>
        <v/>
      </c>
    </row>
    <row r="304">
      <c r="B304" s="30" t="n">
        <v>29.8</v>
      </c>
      <c r="C304" s="12">
        <f>'Dashboard'!$C$9+B304</f>
        <v/>
      </c>
      <c r="D304" s="14">
        <f>(0.24*((C304+0.1*'Cooling Tower &amp; Corrugated Fill'!$C$12))+0.62198*(0.61094*EXP(17.625*(((C304+0.1*'Cooling Tower &amp; Corrugated Fill'!$C$12))-32)/1.8/((((C304+0.1*'Cooling Tower &amp; Corrugated Fill'!$C$12))-32)/1.8+243.04)))/('Cooling Tower &amp; Corrugated Fill'!$C$14-(0.61094*EXP(17.625*(((C304+0.1*'Cooling Tower &amp; Corrugated Fill'!$C$12))-32)/1.8/((((C304+0.1*'Cooling Tower &amp; Corrugated Fill'!$C$12))-32)/1.8+243.04))))*(1061+0.444*((C304+0.1*'Cooling Tower &amp; Corrugated Fill'!$C$12))))-('Merkel Solver'!$C$4+'Cooling Tower &amp; Corrugated Fill'!$C$13*0.1*'Cooling Tower &amp; Corrugated Fill'!$C$12)</f>
        <v/>
      </c>
      <c r="E304" s="14">
        <f>(0.24*((C304+0.4*'Cooling Tower &amp; Corrugated Fill'!$C$12))+0.62198*(0.61094*EXP(17.625*(((C304+0.4*'Cooling Tower &amp; Corrugated Fill'!$C$12))-32)/1.8/((((C304+0.4*'Cooling Tower &amp; Corrugated Fill'!$C$12))-32)/1.8+243.04)))/('Cooling Tower &amp; Corrugated Fill'!$C$14-(0.61094*EXP(17.625*(((C304+0.4*'Cooling Tower &amp; Corrugated Fill'!$C$12))-32)/1.8/((((C304+0.4*'Cooling Tower &amp; Corrugated Fill'!$C$12))-32)/1.8+243.04))))*(1061+0.444*((C304+0.4*'Cooling Tower &amp; Corrugated Fill'!$C$12))))-('Merkel Solver'!$C$4+'Cooling Tower &amp; Corrugated Fill'!$C$13*0.4*'Cooling Tower &amp; Corrugated Fill'!$C$12)</f>
        <v/>
      </c>
      <c r="F304" s="14">
        <f>(0.24*((C304+0.6*'Cooling Tower &amp; Corrugated Fill'!$C$12))+0.62198*(0.61094*EXP(17.625*(((C304+0.6*'Cooling Tower &amp; Corrugated Fill'!$C$12))-32)/1.8/((((C304+0.6*'Cooling Tower &amp; Corrugated Fill'!$C$12))-32)/1.8+243.04)))/('Cooling Tower &amp; Corrugated Fill'!$C$14-(0.61094*EXP(17.625*(((C304+0.6*'Cooling Tower &amp; Corrugated Fill'!$C$12))-32)/1.8/((((C304+0.6*'Cooling Tower &amp; Corrugated Fill'!$C$12))-32)/1.8+243.04))))*(1061+0.444*((C304+0.6*'Cooling Tower &amp; Corrugated Fill'!$C$12))))-('Merkel Solver'!$C$4+'Cooling Tower &amp; Corrugated Fill'!$C$13*0.6*'Cooling Tower &amp; Corrugated Fill'!$C$12)</f>
        <v/>
      </c>
      <c r="G304" s="14">
        <f>(0.24*((C304+0.9*'Cooling Tower &amp; Corrugated Fill'!$C$12))+0.62198*(0.61094*EXP(17.625*(((C304+0.9*'Cooling Tower &amp; Corrugated Fill'!$C$12))-32)/1.8/((((C304+0.9*'Cooling Tower &amp; Corrugated Fill'!$C$12))-32)/1.8+243.04)))/('Cooling Tower &amp; Corrugated Fill'!$C$14-(0.61094*EXP(17.625*(((C304+0.9*'Cooling Tower &amp; Corrugated Fill'!$C$12))-32)/1.8/((((C304+0.9*'Cooling Tower &amp; Corrugated Fill'!$C$12))-32)/1.8+243.04))))*(1061+0.444*((C304+0.9*'Cooling Tower &amp; Corrugated Fill'!$C$12))))-('Merkel Solver'!$C$4+'Cooling Tower &amp; Corrugated Fill'!$C$13*0.9*'Cooling Tower &amp; Corrugated Fill'!$C$12)</f>
        <v/>
      </c>
      <c r="H304" s="22">
        <f>IF(MIN(D304:G304)&lt;=0,99999,'Cooling Tower &amp; Corrugated Fill'!$C$12/4*(1/D304+1/E304+1/F304+1/G304))</f>
        <v/>
      </c>
    </row>
    <row r="305">
      <c r="B305" s="30" t="n">
        <v>29.9</v>
      </c>
      <c r="C305" s="12">
        <f>'Dashboard'!$C$9+B305</f>
        <v/>
      </c>
      <c r="D305" s="14">
        <f>(0.24*((C305+0.1*'Cooling Tower &amp; Corrugated Fill'!$C$12))+0.62198*(0.61094*EXP(17.625*(((C305+0.1*'Cooling Tower &amp; Corrugated Fill'!$C$12))-32)/1.8/((((C305+0.1*'Cooling Tower &amp; Corrugated Fill'!$C$12))-32)/1.8+243.04)))/('Cooling Tower &amp; Corrugated Fill'!$C$14-(0.61094*EXP(17.625*(((C305+0.1*'Cooling Tower &amp; Corrugated Fill'!$C$12))-32)/1.8/((((C305+0.1*'Cooling Tower &amp; Corrugated Fill'!$C$12))-32)/1.8+243.04))))*(1061+0.444*((C305+0.1*'Cooling Tower &amp; Corrugated Fill'!$C$12))))-('Merkel Solver'!$C$4+'Cooling Tower &amp; Corrugated Fill'!$C$13*0.1*'Cooling Tower &amp; Corrugated Fill'!$C$12)</f>
        <v/>
      </c>
      <c r="E305" s="14">
        <f>(0.24*((C305+0.4*'Cooling Tower &amp; Corrugated Fill'!$C$12))+0.62198*(0.61094*EXP(17.625*(((C305+0.4*'Cooling Tower &amp; Corrugated Fill'!$C$12))-32)/1.8/((((C305+0.4*'Cooling Tower &amp; Corrugated Fill'!$C$12))-32)/1.8+243.04)))/('Cooling Tower &amp; Corrugated Fill'!$C$14-(0.61094*EXP(17.625*(((C305+0.4*'Cooling Tower &amp; Corrugated Fill'!$C$12))-32)/1.8/((((C305+0.4*'Cooling Tower &amp; Corrugated Fill'!$C$12))-32)/1.8+243.04))))*(1061+0.444*((C305+0.4*'Cooling Tower &amp; Corrugated Fill'!$C$12))))-('Merkel Solver'!$C$4+'Cooling Tower &amp; Corrugated Fill'!$C$13*0.4*'Cooling Tower &amp; Corrugated Fill'!$C$12)</f>
        <v/>
      </c>
      <c r="F305" s="14">
        <f>(0.24*((C305+0.6*'Cooling Tower &amp; Corrugated Fill'!$C$12))+0.62198*(0.61094*EXP(17.625*(((C305+0.6*'Cooling Tower &amp; Corrugated Fill'!$C$12))-32)/1.8/((((C305+0.6*'Cooling Tower &amp; Corrugated Fill'!$C$12))-32)/1.8+243.04)))/('Cooling Tower &amp; Corrugated Fill'!$C$14-(0.61094*EXP(17.625*(((C305+0.6*'Cooling Tower &amp; Corrugated Fill'!$C$12))-32)/1.8/((((C305+0.6*'Cooling Tower &amp; Corrugated Fill'!$C$12))-32)/1.8+243.04))))*(1061+0.444*((C305+0.6*'Cooling Tower &amp; Corrugated Fill'!$C$12))))-('Merkel Solver'!$C$4+'Cooling Tower &amp; Corrugated Fill'!$C$13*0.6*'Cooling Tower &amp; Corrugated Fill'!$C$12)</f>
        <v/>
      </c>
      <c r="G305" s="14">
        <f>(0.24*((C305+0.9*'Cooling Tower &amp; Corrugated Fill'!$C$12))+0.62198*(0.61094*EXP(17.625*(((C305+0.9*'Cooling Tower &amp; Corrugated Fill'!$C$12))-32)/1.8/((((C305+0.9*'Cooling Tower &amp; Corrugated Fill'!$C$12))-32)/1.8+243.04)))/('Cooling Tower &amp; Corrugated Fill'!$C$14-(0.61094*EXP(17.625*(((C305+0.9*'Cooling Tower &amp; Corrugated Fill'!$C$12))-32)/1.8/((((C305+0.9*'Cooling Tower &amp; Corrugated Fill'!$C$12))-32)/1.8+243.04))))*(1061+0.444*((C305+0.9*'Cooling Tower &amp; Corrugated Fill'!$C$12))))-('Merkel Solver'!$C$4+'Cooling Tower &amp; Corrugated Fill'!$C$13*0.9*'Cooling Tower &amp; Corrugated Fill'!$C$12)</f>
        <v/>
      </c>
      <c r="H305" s="22">
        <f>IF(MIN(D305:G305)&lt;=0,99999,'Cooling Tower &amp; Corrugated Fill'!$C$12/4*(1/D305+1/E305+1/F305+1/G305))</f>
        <v/>
      </c>
    </row>
    <row r="306">
      <c r="B306" s="30" t="n">
        <v>30</v>
      </c>
      <c r="C306" s="12">
        <f>'Dashboard'!$C$9+B306</f>
        <v/>
      </c>
      <c r="D306" s="14">
        <f>(0.24*((C306+0.1*'Cooling Tower &amp; Corrugated Fill'!$C$12))+0.62198*(0.61094*EXP(17.625*(((C306+0.1*'Cooling Tower &amp; Corrugated Fill'!$C$12))-32)/1.8/((((C306+0.1*'Cooling Tower &amp; Corrugated Fill'!$C$12))-32)/1.8+243.04)))/('Cooling Tower &amp; Corrugated Fill'!$C$14-(0.61094*EXP(17.625*(((C306+0.1*'Cooling Tower &amp; Corrugated Fill'!$C$12))-32)/1.8/((((C306+0.1*'Cooling Tower &amp; Corrugated Fill'!$C$12))-32)/1.8+243.04))))*(1061+0.444*((C306+0.1*'Cooling Tower &amp; Corrugated Fill'!$C$12))))-('Merkel Solver'!$C$4+'Cooling Tower &amp; Corrugated Fill'!$C$13*0.1*'Cooling Tower &amp; Corrugated Fill'!$C$12)</f>
        <v/>
      </c>
      <c r="E306" s="14">
        <f>(0.24*((C306+0.4*'Cooling Tower &amp; Corrugated Fill'!$C$12))+0.62198*(0.61094*EXP(17.625*(((C306+0.4*'Cooling Tower &amp; Corrugated Fill'!$C$12))-32)/1.8/((((C306+0.4*'Cooling Tower &amp; Corrugated Fill'!$C$12))-32)/1.8+243.04)))/('Cooling Tower &amp; Corrugated Fill'!$C$14-(0.61094*EXP(17.625*(((C306+0.4*'Cooling Tower &amp; Corrugated Fill'!$C$12))-32)/1.8/((((C306+0.4*'Cooling Tower &amp; Corrugated Fill'!$C$12))-32)/1.8+243.04))))*(1061+0.444*((C306+0.4*'Cooling Tower &amp; Corrugated Fill'!$C$12))))-('Merkel Solver'!$C$4+'Cooling Tower &amp; Corrugated Fill'!$C$13*0.4*'Cooling Tower &amp; Corrugated Fill'!$C$12)</f>
        <v/>
      </c>
      <c r="F306" s="14">
        <f>(0.24*((C306+0.6*'Cooling Tower &amp; Corrugated Fill'!$C$12))+0.62198*(0.61094*EXP(17.625*(((C306+0.6*'Cooling Tower &amp; Corrugated Fill'!$C$12))-32)/1.8/((((C306+0.6*'Cooling Tower &amp; Corrugated Fill'!$C$12))-32)/1.8+243.04)))/('Cooling Tower &amp; Corrugated Fill'!$C$14-(0.61094*EXP(17.625*(((C306+0.6*'Cooling Tower &amp; Corrugated Fill'!$C$12))-32)/1.8/((((C306+0.6*'Cooling Tower &amp; Corrugated Fill'!$C$12))-32)/1.8+243.04))))*(1061+0.444*((C306+0.6*'Cooling Tower &amp; Corrugated Fill'!$C$12))))-('Merkel Solver'!$C$4+'Cooling Tower &amp; Corrugated Fill'!$C$13*0.6*'Cooling Tower &amp; Corrugated Fill'!$C$12)</f>
        <v/>
      </c>
      <c r="G306" s="14">
        <f>(0.24*((C306+0.9*'Cooling Tower &amp; Corrugated Fill'!$C$12))+0.62198*(0.61094*EXP(17.625*(((C306+0.9*'Cooling Tower &amp; Corrugated Fill'!$C$12))-32)/1.8/((((C306+0.9*'Cooling Tower &amp; Corrugated Fill'!$C$12))-32)/1.8+243.04)))/('Cooling Tower &amp; Corrugated Fill'!$C$14-(0.61094*EXP(17.625*(((C306+0.9*'Cooling Tower &amp; Corrugated Fill'!$C$12))-32)/1.8/((((C306+0.9*'Cooling Tower &amp; Corrugated Fill'!$C$12))-32)/1.8+243.04))))*(1061+0.444*((C306+0.9*'Cooling Tower &amp; Corrugated Fill'!$C$12))))-('Merkel Solver'!$C$4+'Cooling Tower &amp; Corrugated Fill'!$C$13*0.9*'Cooling Tower &amp; Corrugated Fill'!$C$12)</f>
        <v/>
      </c>
      <c r="H306" s="22">
        <f>IF(MIN(D306:G306)&lt;=0,99999,'Cooling Tower &amp; Corrugated Fill'!$C$12/4*(1/D306+1/E306+1/F306+1/G306))</f>
        <v/>
      </c>
    </row>
    <row r="307">
      <c r="B307" s="30" t="n">
        <v>30.1</v>
      </c>
      <c r="C307" s="12">
        <f>'Dashboard'!$C$9+B307</f>
        <v/>
      </c>
      <c r="D307" s="14">
        <f>(0.24*((C307+0.1*'Cooling Tower &amp; Corrugated Fill'!$C$12))+0.62198*(0.61094*EXP(17.625*(((C307+0.1*'Cooling Tower &amp; Corrugated Fill'!$C$12))-32)/1.8/((((C307+0.1*'Cooling Tower &amp; Corrugated Fill'!$C$12))-32)/1.8+243.04)))/('Cooling Tower &amp; Corrugated Fill'!$C$14-(0.61094*EXP(17.625*(((C307+0.1*'Cooling Tower &amp; Corrugated Fill'!$C$12))-32)/1.8/((((C307+0.1*'Cooling Tower &amp; Corrugated Fill'!$C$12))-32)/1.8+243.04))))*(1061+0.444*((C307+0.1*'Cooling Tower &amp; Corrugated Fill'!$C$12))))-('Merkel Solver'!$C$4+'Cooling Tower &amp; Corrugated Fill'!$C$13*0.1*'Cooling Tower &amp; Corrugated Fill'!$C$12)</f>
        <v/>
      </c>
      <c r="E307" s="14">
        <f>(0.24*((C307+0.4*'Cooling Tower &amp; Corrugated Fill'!$C$12))+0.62198*(0.61094*EXP(17.625*(((C307+0.4*'Cooling Tower &amp; Corrugated Fill'!$C$12))-32)/1.8/((((C307+0.4*'Cooling Tower &amp; Corrugated Fill'!$C$12))-32)/1.8+243.04)))/('Cooling Tower &amp; Corrugated Fill'!$C$14-(0.61094*EXP(17.625*(((C307+0.4*'Cooling Tower &amp; Corrugated Fill'!$C$12))-32)/1.8/((((C307+0.4*'Cooling Tower &amp; Corrugated Fill'!$C$12))-32)/1.8+243.04))))*(1061+0.444*((C307+0.4*'Cooling Tower &amp; Corrugated Fill'!$C$12))))-('Merkel Solver'!$C$4+'Cooling Tower &amp; Corrugated Fill'!$C$13*0.4*'Cooling Tower &amp; Corrugated Fill'!$C$12)</f>
        <v/>
      </c>
      <c r="F307" s="14">
        <f>(0.24*((C307+0.6*'Cooling Tower &amp; Corrugated Fill'!$C$12))+0.62198*(0.61094*EXP(17.625*(((C307+0.6*'Cooling Tower &amp; Corrugated Fill'!$C$12))-32)/1.8/((((C307+0.6*'Cooling Tower &amp; Corrugated Fill'!$C$12))-32)/1.8+243.04)))/('Cooling Tower &amp; Corrugated Fill'!$C$14-(0.61094*EXP(17.625*(((C307+0.6*'Cooling Tower &amp; Corrugated Fill'!$C$12))-32)/1.8/((((C307+0.6*'Cooling Tower &amp; Corrugated Fill'!$C$12))-32)/1.8+243.04))))*(1061+0.444*((C307+0.6*'Cooling Tower &amp; Corrugated Fill'!$C$12))))-('Merkel Solver'!$C$4+'Cooling Tower &amp; Corrugated Fill'!$C$13*0.6*'Cooling Tower &amp; Corrugated Fill'!$C$12)</f>
        <v/>
      </c>
      <c r="G307" s="14">
        <f>(0.24*((C307+0.9*'Cooling Tower &amp; Corrugated Fill'!$C$12))+0.62198*(0.61094*EXP(17.625*(((C307+0.9*'Cooling Tower &amp; Corrugated Fill'!$C$12))-32)/1.8/((((C307+0.9*'Cooling Tower &amp; Corrugated Fill'!$C$12))-32)/1.8+243.04)))/('Cooling Tower &amp; Corrugated Fill'!$C$14-(0.61094*EXP(17.625*(((C307+0.9*'Cooling Tower &amp; Corrugated Fill'!$C$12))-32)/1.8/((((C307+0.9*'Cooling Tower &amp; Corrugated Fill'!$C$12))-32)/1.8+243.04))))*(1061+0.444*((C307+0.9*'Cooling Tower &amp; Corrugated Fill'!$C$12))))-('Merkel Solver'!$C$4+'Cooling Tower &amp; Corrugated Fill'!$C$13*0.9*'Cooling Tower &amp; Corrugated Fill'!$C$12)</f>
        <v/>
      </c>
      <c r="H307" s="22">
        <f>IF(MIN(D307:G307)&lt;=0,99999,'Cooling Tower &amp; Corrugated Fill'!$C$12/4*(1/D307+1/E307+1/F307+1/G307))</f>
        <v/>
      </c>
    </row>
    <row r="308">
      <c r="B308" s="30" t="n">
        <v>30.2</v>
      </c>
      <c r="C308" s="12">
        <f>'Dashboard'!$C$9+B308</f>
        <v/>
      </c>
      <c r="D308" s="14">
        <f>(0.24*((C308+0.1*'Cooling Tower &amp; Corrugated Fill'!$C$12))+0.62198*(0.61094*EXP(17.625*(((C308+0.1*'Cooling Tower &amp; Corrugated Fill'!$C$12))-32)/1.8/((((C308+0.1*'Cooling Tower &amp; Corrugated Fill'!$C$12))-32)/1.8+243.04)))/('Cooling Tower &amp; Corrugated Fill'!$C$14-(0.61094*EXP(17.625*(((C308+0.1*'Cooling Tower &amp; Corrugated Fill'!$C$12))-32)/1.8/((((C308+0.1*'Cooling Tower &amp; Corrugated Fill'!$C$12))-32)/1.8+243.04))))*(1061+0.444*((C308+0.1*'Cooling Tower &amp; Corrugated Fill'!$C$12))))-('Merkel Solver'!$C$4+'Cooling Tower &amp; Corrugated Fill'!$C$13*0.1*'Cooling Tower &amp; Corrugated Fill'!$C$12)</f>
        <v/>
      </c>
      <c r="E308" s="14">
        <f>(0.24*((C308+0.4*'Cooling Tower &amp; Corrugated Fill'!$C$12))+0.62198*(0.61094*EXP(17.625*(((C308+0.4*'Cooling Tower &amp; Corrugated Fill'!$C$12))-32)/1.8/((((C308+0.4*'Cooling Tower &amp; Corrugated Fill'!$C$12))-32)/1.8+243.04)))/('Cooling Tower &amp; Corrugated Fill'!$C$14-(0.61094*EXP(17.625*(((C308+0.4*'Cooling Tower &amp; Corrugated Fill'!$C$12))-32)/1.8/((((C308+0.4*'Cooling Tower &amp; Corrugated Fill'!$C$12))-32)/1.8+243.04))))*(1061+0.444*((C308+0.4*'Cooling Tower &amp; Corrugated Fill'!$C$12))))-('Merkel Solver'!$C$4+'Cooling Tower &amp; Corrugated Fill'!$C$13*0.4*'Cooling Tower &amp; Corrugated Fill'!$C$12)</f>
        <v/>
      </c>
      <c r="F308" s="14">
        <f>(0.24*((C308+0.6*'Cooling Tower &amp; Corrugated Fill'!$C$12))+0.62198*(0.61094*EXP(17.625*(((C308+0.6*'Cooling Tower &amp; Corrugated Fill'!$C$12))-32)/1.8/((((C308+0.6*'Cooling Tower &amp; Corrugated Fill'!$C$12))-32)/1.8+243.04)))/('Cooling Tower &amp; Corrugated Fill'!$C$14-(0.61094*EXP(17.625*(((C308+0.6*'Cooling Tower &amp; Corrugated Fill'!$C$12))-32)/1.8/((((C308+0.6*'Cooling Tower &amp; Corrugated Fill'!$C$12))-32)/1.8+243.04))))*(1061+0.444*((C308+0.6*'Cooling Tower &amp; Corrugated Fill'!$C$12))))-('Merkel Solver'!$C$4+'Cooling Tower &amp; Corrugated Fill'!$C$13*0.6*'Cooling Tower &amp; Corrugated Fill'!$C$12)</f>
        <v/>
      </c>
      <c r="G308" s="14">
        <f>(0.24*((C308+0.9*'Cooling Tower &amp; Corrugated Fill'!$C$12))+0.62198*(0.61094*EXP(17.625*(((C308+0.9*'Cooling Tower &amp; Corrugated Fill'!$C$12))-32)/1.8/((((C308+0.9*'Cooling Tower &amp; Corrugated Fill'!$C$12))-32)/1.8+243.04)))/('Cooling Tower &amp; Corrugated Fill'!$C$14-(0.61094*EXP(17.625*(((C308+0.9*'Cooling Tower &amp; Corrugated Fill'!$C$12))-32)/1.8/((((C308+0.9*'Cooling Tower &amp; Corrugated Fill'!$C$12))-32)/1.8+243.04))))*(1061+0.444*((C308+0.9*'Cooling Tower &amp; Corrugated Fill'!$C$12))))-('Merkel Solver'!$C$4+'Cooling Tower &amp; Corrugated Fill'!$C$13*0.9*'Cooling Tower &amp; Corrugated Fill'!$C$12)</f>
        <v/>
      </c>
      <c r="H308" s="22">
        <f>IF(MIN(D308:G308)&lt;=0,99999,'Cooling Tower &amp; Corrugated Fill'!$C$12/4*(1/D308+1/E308+1/F308+1/G308))</f>
        <v/>
      </c>
    </row>
    <row r="309">
      <c r="B309" s="30" t="n">
        <v>30.3</v>
      </c>
      <c r="C309" s="12">
        <f>'Dashboard'!$C$9+B309</f>
        <v/>
      </c>
      <c r="D309" s="14">
        <f>(0.24*((C309+0.1*'Cooling Tower &amp; Corrugated Fill'!$C$12))+0.62198*(0.61094*EXP(17.625*(((C309+0.1*'Cooling Tower &amp; Corrugated Fill'!$C$12))-32)/1.8/((((C309+0.1*'Cooling Tower &amp; Corrugated Fill'!$C$12))-32)/1.8+243.04)))/('Cooling Tower &amp; Corrugated Fill'!$C$14-(0.61094*EXP(17.625*(((C309+0.1*'Cooling Tower &amp; Corrugated Fill'!$C$12))-32)/1.8/((((C309+0.1*'Cooling Tower &amp; Corrugated Fill'!$C$12))-32)/1.8+243.04))))*(1061+0.444*((C309+0.1*'Cooling Tower &amp; Corrugated Fill'!$C$12))))-('Merkel Solver'!$C$4+'Cooling Tower &amp; Corrugated Fill'!$C$13*0.1*'Cooling Tower &amp; Corrugated Fill'!$C$12)</f>
        <v/>
      </c>
      <c r="E309" s="14">
        <f>(0.24*((C309+0.4*'Cooling Tower &amp; Corrugated Fill'!$C$12))+0.62198*(0.61094*EXP(17.625*(((C309+0.4*'Cooling Tower &amp; Corrugated Fill'!$C$12))-32)/1.8/((((C309+0.4*'Cooling Tower &amp; Corrugated Fill'!$C$12))-32)/1.8+243.04)))/('Cooling Tower &amp; Corrugated Fill'!$C$14-(0.61094*EXP(17.625*(((C309+0.4*'Cooling Tower &amp; Corrugated Fill'!$C$12))-32)/1.8/((((C309+0.4*'Cooling Tower &amp; Corrugated Fill'!$C$12))-32)/1.8+243.04))))*(1061+0.444*((C309+0.4*'Cooling Tower &amp; Corrugated Fill'!$C$12))))-('Merkel Solver'!$C$4+'Cooling Tower &amp; Corrugated Fill'!$C$13*0.4*'Cooling Tower &amp; Corrugated Fill'!$C$12)</f>
        <v/>
      </c>
      <c r="F309" s="14">
        <f>(0.24*((C309+0.6*'Cooling Tower &amp; Corrugated Fill'!$C$12))+0.62198*(0.61094*EXP(17.625*(((C309+0.6*'Cooling Tower &amp; Corrugated Fill'!$C$12))-32)/1.8/((((C309+0.6*'Cooling Tower &amp; Corrugated Fill'!$C$12))-32)/1.8+243.04)))/('Cooling Tower &amp; Corrugated Fill'!$C$14-(0.61094*EXP(17.625*(((C309+0.6*'Cooling Tower &amp; Corrugated Fill'!$C$12))-32)/1.8/((((C309+0.6*'Cooling Tower &amp; Corrugated Fill'!$C$12))-32)/1.8+243.04))))*(1061+0.444*((C309+0.6*'Cooling Tower &amp; Corrugated Fill'!$C$12))))-('Merkel Solver'!$C$4+'Cooling Tower &amp; Corrugated Fill'!$C$13*0.6*'Cooling Tower &amp; Corrugated Fill'!$C$12)</f>
        <v/>
      </c>
      <c r="G309" s="14">
        <f>(0.24*((C309+0.9*'Cooling Tower &amp; Corrugated Fill'!$C$12))+0.62198*(0.61094*EXP(17.625*(((C309+0.9*'Cooling Tower &amp; Corrugated Fill'!$C$12))-32)/1.8/((((C309+0.9*'Cooling Tower &amp; Corrugated Fill'!$C$12))-32)/1.8+243.04)))/('Cooling Tower &amp; Corrugated Fill'!$C$14-(0.61094*EXP(17.625*(((C309+0.9*'Cooling Tower &amp; Corrugated Fill'!$C$12))-32)/1.8/((((C309+0.9*'Cooling Tower &amp; Corrugated Fill'!$C$12))-32)/1.8+243.04))))*(1061+0.444*((C309+0.9*'Cooling Tower &amp; Corrugated Fill'!$C$12))))-('Merkel Solver'!$C$4+'Cooling Tower &amp; Corrugated Fill'!$C$13*0.9*'Cooling Tower &amp; Corrugated Fill'!$C$12)</f>
        <v/>
      </c>
      <c r="H309" s="22">
        <f>IF(MIN(D309:G309)&lt;=0,99999,'Cooling Tower &amp; Corrugated Fill'!$C$12/4*(1/D309+1/E309+1/F309+1/G309))</f>
        <v/>
      </c>
    </row>
    <row r="310">
      <c r="B310" s="30" t="n">
        <v>30.4</v>
      </c>
      <c r="C310" s="12">
        <f>'Dashboard'!$C$9+B310</f>
        <v/>
      </c>
      <c r="D310" s="14">
        <f>(0.24*((C310+0.1*'Cooling Tower &amp; Corrugated Fill'!$C$12))+0.62198*(0.61094*EXP(17.625*(((C310+0.1*'Cooling Tower &amp; Corrugated Fill'!$C$12))-32)/1.8/((((C310+0.1*'Cooling Tower &amp; Corrugated Fill'!$C$12))-32)/1.8+243.04)))/('Cooling Tower &amp; Corrugated Fill'!$C$14-(0.61094*EXP(17.625*(((C310+0.1*'Cooling Tower &amp; Corrugated Fill'!$C$12))-32)/1.8/((((C310+0.1*'Cooling Tower &amp; Corrugated Fill'!$C$12))-32)/1.8+243.04))))*(1061+0.444*((C310+0.1*'Cooling Tower &amp; Corrugated Fill'!$C$12))))-('Merkel Solver'!$C$4+'Cooling Tower &amp; Corrugated Fill'!$C$13*0.1*'Cooling Tower &amp; Corrugated Fill'!$C$12)</f>
        <v/>
      </c>
      <c r="E310" s="14">
        <f>(0.24*((C310+0.4*'Cooling Tower &amp; Corrugated Fill'!$C$12))+0.62198*(0.61094*EXP(17.625*(((C310+0.4*'Cooling Tower &amp; Corrugated Fill'!$C$12))-32)/1.8/((((C310+0.4*'Cooling Tower &amp; Corrugated Fill'!$C$12))-32)/1.8+243.04)))/('Cooling Tower &amp; Corrugated Fill'!$C$14-(0.61094*EXP(17.625*(((C310+0.4*'Cooling Tower &amp; Corrugated Fill'!$C$12))-32)/1.8/((((C310+0.4*'Cooling Tower &amp; Corrugated Fill'!$C$12))-32)/1.8+243.04))))*(1061+0.444*((C310+0.4*'Cooling Tower &amp; Corrugated Fill'!$C$12))))-('Merkel Solver'!$C$4+'Cooling Tower &amp; Corrugated Fill'!$C$13*0.4*'Cooling Tower &amp; Corrugated Fill'!$C$12)</f>
        <v/>
      </c>
      <c r="F310" s="14">
        <f>(0.24*((C310+0.6*'Cooling Tower &amp; Corrugated Fill'!$C$12))+0.62198*(0.61094*EXP(17.625*(((C310+0.6*'Cooling Tower &amp; Corrugated Fill'!$C$12))-32)/1.8/((((C310+0.6*'Cooling Tower &amp; Corrugated Fill'!$C$12))-32)/1.8+243.04)))/('Cooling Tower &amp; Corrugated Fill'!$C$14-(0.61094*EXP(17.625*(((C310+0.6*'Cooling Tower &amp; Corrugated Fill'!$C$12))-32)/1.8/((((C310+0.6*'Cooling Tower &amp; Corrugated Fill'!$C$12))-32)/1.8+243.04))))*(1061+0.444*((C310+0.6*'Cooling Tower &amp; Corrugated Fill'!$C$12))))-('Merkel Solver'!$C$4+'Cooling Tower &amp; Corrugated Fill'!$C$13*0.6*'Cooling Tower &amp; Corrugated Fill'!$C$12)</f>
        <v/>
      </c>
      <c r="G310" s="14">
        <f>(0.24*((C310+0.9*'Cooling Tower &amp; Corrugated Fill'!$C$12))+0.62198*(0.61094*EXP(17.625*(((C310+0.9*'Cooling Tower &amp; Corrugated Fill'!$C$12))-32)/1.8/((((C310+0.9*'Cooling Tower &amp; Corrugated Fill'!$C$12))-32)/1.8+243.04)))/('Cooling Tower &amp; Corrugated Fill'!$C$14-(0.61094*EXP(17.625*(((C310+0.9*'Cooling Tower &amp; Corrugated Fill'!$C$12))-32)/1.8/((((C310+0.9*'Cooling Tower &amp; Corrugated Fill'!$C$12))-32)/1.8+243.04))))*(1061+0.444*((C310+0.9*'Cooling Tower &amp; Corrugated Fill'!$C$12))))-('Merkel Solver'!$C$4+'Cooling Tower &amp; Corrugated Fill'!$C$13*0.9*'Cooling Tower &amp; Corrugated Fill'!$C$12)</f>
        <v/>
      </c>
      <c r="H310" s="22">
        <f>IF(MIN(D310:G310)&lt;=0,99999,'Cooling Tower &amp; Corrugated Fill'!$C$12/4*(1/D310+1/E310+1/F310+1/G310))</f>
        <v/>
      </c>
    </row>
    <row r="311">
      <c r="B311" s="30" t="n">
        <v>30.5</v>
      </c>
      <c r="C311" s="12">
        <f>'Dashboard'!$C$9+B311</f>
        <v/>
      </c>
      <c r="D311" s="14">
        <f>(0.24*((C311+0.1*'Cooling Tower &amp; Corrugated Fill'!$C$12))+0.62198*(0.61094*EXP(17.625*(((C311+0.1*'Cooling Tower &amp; Corrugated Fill'!$C$12))-32)/1.8/((((C311+0.1*'Cooling Tower &amp; Corrugated Fill'!$C$12))-32)/1.8+243.04)))/('Cooling Tower &amp; Corrugated Fill'!$C$14-(0.61094*EXP(17.625*(((C311+0.1*'Cooling Tower &amp; Corrugated Fill'!$C$12))-32)/1.8/((((C311+0.1*'Cooling Tower &amp; Corrugated Fill'!$C$12))-32)/1.8+243.04))))*(1061+0.444*((C311+0.1*'Cooling Tower &amp; Corrugated Fill'!$C$12))))-('Merkel Solver'!$C$4+'Cooling Tower &amp; Corrugated Fill'!$C$13*0.1*'Cooling Tower &amp; Corrugated Fill'!$C$12)</f>
        <v/>
      </c>
      <c r="E311" s="14">
        <f>(0.24*((C311+0.4*'Cooling Tower &amp; Corrugated Fill'!$C$12))+0.62198*(0.61094*EXP(17.625*(((C311+0.4*'Cooling Tower &amp; Corrugated Fill'!$C$12))-32)/1.8/((((C311+0.4*'Cooling Tower &amp; Corrugated Fill'!$C$12))-32)/1.8+243.04)))/('Cooling Tower &amp; Corrugated Fill'!$C$14-(0.61094*EXP(17.625*(((C311+0.4*'Cooling Tower &amp; Corrugated Fill'!$C$12))-32)/1.8/((((C311+0.4*'Cooling Tower &amp; Corrugated Fill'!$C$12))-32)/1.8+243.04))))*(1061+0.444*((C311+0.4*'Cooling Tower &amp; Corrugated Fill'!$C$12))))-('Merkel Solver'!$C$4+'Cooling Tower &amp; Corrugated Fill'!$C$13*0.4*'Cooling Tower &amp; Corrugated Fill'!$C$12)</f>
        <v/>
      </c>
      <c r="F311" s="14">
        <f>(0.24*((C311+0.6*'Cooling Tower &amp; Corrugated Fill'!$C$12))+0.62198*(0.61094*EXP(17.625*(((C311+0.6*'Cooling Tower &amp; Corrugated Fill'!$C$12))-32)/1.8/((((C311+0.6*'Cooling Tower &amp; Corrugated Fill'!$C$12))-32)/1.8+243.04)))/('Cooling Tower &amp; Corrugated Fill'!$C$14-(0.61094*EXP(17.625*(((C311+0.6*'Cooling Tower &amp; Corrugated Fill'!$C$12))-32)/1.8/((((C311+0.6*'Cooling Tower &amp; Corrugated Fill'!$C$12))-32)/1.8+243.04))))*(1061+0.444*((C311+0.6*'Cooling Tower &amp; Corrugated Fill'!$C$12))))-('Merkel Solver'!$C$4+'Cooling Tower &amp; Corrugated Fill'!$C$13*0.6*'Cooling Tower &amp; Corrugated Fill'!$C$12)</f>
        <v/>
      </c>
      <c r="G311" s="14">
        <f>(0.24*((C311+0.9*'Cooling Tower &amp; Corrugated Fill'!$C$12))+0.62198*(0.61094*EXP(17.625*(((C311+0.9*'Cooling Tower &amp; Corrugated Fill'!$C$12))-32)/1.8/((((C311+0.9*'Cooling Tower &amp; Corrugated Fill'!$C$12))-32)/1.8+243.04)))/('Cooling Tower &amp; Corrugated Fill'!$C$14-(0.61094*EXP(17.625*(((C311+0.9*'Cooling Tower &amp; Corrugated Fill'!$C$12))-32)/1.8/((((C311+0.9*'Cooling Tower &amp; Corrugated Fill'!$C$12))-32)/1.8+243.04))))*(1061+0.444*((C311+0.9*'Cooling Tower &amp; Corrugated Fill'!$C$12))))-('Merkel Solver'!$C$4+'Cooling Tower &amp; Corrugated Fill'!$C$13*0.9*'Cooling Tower &amp; Corrugated Fill'!$C$12)</f>
        <v/>
      </c>
      <c r="H311" s="22">
        <f>IF(MIN(D311:G311)&lt;=0,99999,'Cooling Tower &amp; Corrugated Fill'!$C$12/4*(1/D311+1/E311+1/F311+1/G311))</f>
        <v/>
      </c>
    </row>
    <row r="312">
      <c r="B312" s="30" t="n">
        <v>30.6</v>
      </c>
      <c r="C312" s="12">
        <f>'Dashboard'!$C$9+B312</f>
        <v/>
      </c>
      <c r="D312" s="14">
        <f>(0.24*((C312+0.1*'Cooling Tower &amp; Corrugated Fill'!$C$12))+0.62198*(0.61094*EXP(17.625*(((C312+0.1*'Cooling Tower &amp; Corrugated Fill'!$C$12))-32)/1.8/((((C312+0.1*'Cooling Tower &amp; Corrugated Fill'!$C$12))-32)/1.8+243.04)))/('Cooling Tower &amp; Corrugated Fill'!$C$14-(0.61094*EXP(17.625*(((C312+0.1*'Cooling Tower &amp; Corrugated Fill'!$C$12))-32)/1.8/((((C312+0.1*'Cooling Tower &amp; Corrugated Fill'!$C$12))-32)/1.8+243.04))))*(1061+0.444*((C312+0.1*'Cooling Tower &amp; Corrugated Fill'!$C$12))))-('Merkel Solver'!$C$4+'Cooling Tower &amp; Corrugated Fill'!$C$13*0.1*'Cooling Tower &amp; Corrugated Fill'!$C$12)</f>
        <v/>
      </c>
      <c r="E312" s="14">
        <f>(0.24*((C312+0.4*'Cooling Tower &amp; Corrugated Fill'!$C$12))+0.62198*(0.61094*EXP(17.625*(((C312+0.4*'Cooling Tower &amp; Corrugated Fill'!$C$12))-32)/1.8/((((C312+0.4*'Cooling Tower &amp; Corrugated Fill'!$C$12))-32)/1.8+243.04)))/('Cooling Tower &amp; Corrugated Fill'!$C$14-(0.61094*EXP(17.625*(((C312+0.4*'Cooling Tower &amp; Corrugated Fill'!$C$12))-32)/1.8/((((C312+0.4*'Cooling Tower &amp; Corrugated Fill'!$C$12))-32)/1.8+243.04))))*(1061+0.444*((C312+0.4*'Cooling Tower &amp; Corrugated Fill'!$C$12))))-('Merkel Solver'!$C$4+'Cooling Tower &amp; Corrugated Fill'!$C$13*0.4*'Cooling Tower &amp; Corrugated Fill'!$C$12)</f>
        <v/>
      </c>
      <c r="F312" s="14">
        <f>(0.24*((C312+0.6*'Cooling Tower &amp; Corrugated Fill'!$C$12))+0.62198*(0.61094*EXP(17.625*(((C312+0.6*'Cooling Tower &amp; Corrugated Fill'!$C$12))-32)/1.8/((((C312+0.6*'Cooling Tower &amp; Corrugated Fill'!$C$12))-32)/1.8+243.04)))/('Cooling Tower &amp; Corrugated Fill'!$C$14-(0.61094*EXP(17.625*(((C312+0.6*'Cooling Tower &amp; Corrugated Fill'!$C$12))-32)/1.8/((((C312+0.6*'Cooling Tower &amp; Corrugated Fill'!$C$12))-32)/1.8+243.04))))*(1061+0.444*((C312+0.6*'Cooling Tower &amp; Corrugated Fill'!$C$12))))-('Merkel Solver'!$C$4+'Cooling Tower &amp; Corrugated Fill'!$C$13*0.6*'Cooling Tower &amp; Corrugated Fill'!$C$12)</f>
        <v/>
      </c>
      <c r="G312" s="14">
        <f>(0.24*((C312+0.9*'Cooling Tower &amp; Corrugated Fill'!$C$12))+0.62198*(0.61094*EXP(17.625*(((C312+0.9*'Cooling Tower &amp; Corrugated Fill'!$C$12))-32)/1.8/((((C312+0.9*'Cooling Tower &amp; Corrugated Fill'!$C$12))-32)/1.8+243.04)))/('Cooling Tower &amp; Corrugated Fill'!$C$14-(0.61094*EXP(17.625*(((C312+0.9*'Cooling Tower &amp; Corrugated Fill'!$C$12))-32)/1.8/((((C312+0.9*'Cooling Tower &amp; Corrugated Fill'!$C$12))-32)/1.8+243.04))))*(1061+0.444*((C312+0.9*'Cooling Tower &amp; Corrugated Fill'!$C$12))))-('Merkel Solver'!$C$4+'Cooling Tower &amp; Corrugated Fill'!$C$13*0.9*'Cooling Tower &amp; Corrugated Fill'!$C$12)</f>
        <v/>
      </c>
      <c r="H312" s="22">
        <f>IF(MIN(D312:G312)&lt;=0,99999,'Cooling Tower &amp; Corrugated Fill'!$C$12/4*(1/D312+1/E312+1/F312+1/G312))</f>
        <v/>
      </c>
    </row>
    <row r="313">
      <c r="B313" s="30" t="n">
        <v>30.7</v>
      </c>
      <c r="C313" s="12">
        <f>'Dashboard'!$C$9+B313</f>
        <v/>
      </c>
      <c r="D313" s="14">
        <f>(0.24*((C313+0.1*'Cooling Tower &amp; Corrugated Fill'!$C$12))+0.62198*(0.61094*EXP(17.625*(((C313+0.1*'Cooling Tower &amp; Corrugated Fill'!$C$12))-32)/1.8/((((C313+0.1*'Cooling Tower &amp; Corrugated Fill'!$C$12))-32)/1.8+243.04)))/('Cooling Tower &amp; Corrugated Fill'!$C$14-(0.61094*EXP(17.625*(((C313+0.1*'Cooling Tower &amp; Corrugated Fill'!$C$12))-32)/1.8/((((C313+0.1*'Cooling Tower &amp; Corrugated Fill'!$C$12))-32)/1.8+243.04))))*(1061+0.444*((C313+0.1*'Cooling Tower &amp; Corrugated Fill'!$C$12))))-('Merkel Solver'!$C$4+'Cooling Tower &amp; Corrugated Fill'!$C$13*0.1*'Cooling Tower &amp; Corrugated Fill'!$C$12)</f>
        <v/>
      </c>
      <c r="E313" s="14">
        <f>(0.24*((C313+0.4*'Cooling Tower &amp; Corrugated Fill'!$C$12))+0.62198*(0.61094*EXP(17.625*(((C313+0.4*'Cooling Tower &amp; Corrugated Fill'!$C$12))-32)/1.8/((((C313+0.4*'Cooling Tower &amp; Corrugated Fill'!$C$12))-32)/1.8+243.04)))/('Cooling Tower &amp; Corrugated Fill'!$C$14-(0.61094*EXP(17.625*(((C313+0.4*'Cooling Tower &amp; Corrugated Fill'!$C$12))-32)/1.8/((((C313+0.4*'Cooling Tower &amp; Corrugated Fill'!$C$12))-32)/1.8+243.04))))*(1061+0.444*((C313+0.4*'Cooling Tower &amp; Corrugated Fill'!$C$12))))-('Merkel Solver'!$C$4+'Cooling Tower &amp; Corrugated Fill'!$C$13*0.4*'Cooling Tower &amp; Corrugated Fill'!$C$12)</f>
        <v/>
      </c>
      <c r="F313" s="14">
        <f>(0.24*((C313+0.6*'Cooling Tower &amp; Corrugated Fill'!$C$12))+0.62198*(0.61094*EXP(17.625*(((C313+0.6*'Cooling Tower &amp; Corrugated Fill'!$C$12))-32)/1.8/((((C313+0.6*'Cooling Tower &amp; Corrugated Fill'!$C$12))-32)/1.8+243.04)))/('Cooling Tower &amp; Corrugated Fill'!$C$14-(0.61094*EXP(17.625*(((C313+0.6*'Cooling Tower &amp; Corrugated Fill'!$C$12))-32)/1.8/((((C313+0.6*'Cooling Tower &amp; Corrugated Fill'!$C$12))-32)/1.8+243.04))))*(1061+0.444*((C313+0.6*'Cooling Tower &amp; Corrugated Fill'!$C$12))))-('Merkel Solver'!$C$4+'Cooling Tower &amp; Corrugated Fill'!$C$13*0.6*'Cooling Tower &amp; Corrugated Fill'!$C$12)</f>
        <v/>
      </c>
      <c r="G313" s="14">
        <f>(0.24*((C313+0.9*'Cooling Tower &amp; Corrugated Fill'!$C$12))+0.62198*(0.61094*EXP(17.625*(((C313+0.9*'Cooling Tower &amp; Corrugated Fill'!$C$12))-32)/1.8/((((C313+0.9*'Cooling Tower &amp; Corrugated Fill'!$C$12))-32)/1.8+243.04)))/('Cooling Tower &amp; Corrugated Fill'!$C$14-(0.61094*EXP(17.625*(((C313+0.9*'Cooling Tower &amp; Corrugated Fill'!$C$12))-32)/1.8/((((C313+0.9*'Cooling Tower &amp; Corrugated Fill'!$C$12))-32)/1.8+243.04))))*(1061+0.444*((C313+0.9*'Cooling Tower &amp; Corrugated Fill'!$C$12))))-('Merkel Solver'!$C$4+'Cooling Tower &amp; Corrugated Fill'!$C$13*0.9*'Cooling Tower &amp; Corrugated Fill'!$C$12)</f>
        <v/>
      </c>
      <c r="H313" s="22">
        <f>IF(MIN(D313:G313)&lt;=0,99999,'Cooling Tower &amp; Corrugated Fill'!$C$12/4*(1/D313+1/E313+1/F313+1/G313))</f>
        <v/>
      </c>
    </row>
    <row r="314">
      <c r="B314" s="30" t="n">
        <v>30.8</v>
      </c>
      <c r="C314" s="12">
        <f>'Dashboard'!$C$9+B314</f>
        <v/>
      </c>
      <c r="D314" s="14">
        <f>(0.24*((C314+0.1*'Cooling Tower &amp; Corrugated Fill'!$C$12))+0.62198*(0.61094*EXP(17.625*(((C314+0.1*'Cooling Tower &amp; Corrugated Fill'!$C$12))-32)/1.8/((((C314+0.1*'Cooling Tower &amp; Corrugated Fill'!$C$12))-32)/1.8+243.04)))/('Cooling Tower &amp; Corrugated Fill'!$C$14-(0.61094*EXP(17.625*(((C314+0.1*'Cooling Tower &amp; Corrugated Fill'!$C$12))-32)/1.8/((((C314+0.1*'Cooling Tower &amp; Corrugated Fill'!$C$12))-32)/1.8+243.04))))*(1061+0.444*((C314+0.1*'Cooling Tower &amp; Corrugated Fill'!$C$12))))-('Merkel Solver'!$C$4+'Cooling Tower &amp; Corrugated Fill'!$C$13*0.1*'Cooling Tower &amp; Corrugated Fill'!$C$12)</f>
        <v/>
      </c>
      <c r="E314" s="14">
        <f>(0.24*((C314+0.4*'Cooling Tower &amp; Corrugated Fill'!$C$12))+0.62198*(0.61094*EXP(17.625*(((C314+0.4*'Cooling Tower &amp; Corrugated Fill'!$C$12))-32)/1.8/((((C314+0.4*'Cooling Tower &amp; Corrugated Fill'!$C$12))-32)/1.8+243.04)))/('Cooling Tower &amp; Corrugated Fill'!$C$14-(0.61094*EXP(17.625*(((C314+0.4*'Cooling Tower &amp; Corrugated Fill'!$C$12))-32)/1.8/((((C314+0.4*'Cooling Tower &amp; Corrugated Fill'!$C$12))-32)/1.8+243.04))))*(1061+0.444*((C314+0.4*'Cooling Tower &amp; Corrugated Fill'!$C$12))))-('Merkel Solver'!$C$4+'Cooling Tower &amp; Corrugated Fill'!$C$13*0.4*'Cooling Tower &amp; Corrugated Fill'!$C$12)</f>
        <v/>
      </c>
      <c r="F314" s="14">
        <f>(0.24*((C314+0.6*'Cooling Tower &amp; Corrugated Fill'!$C$12))+0.62198*(0.61094*EXP(17.625*(((C314+0.6*'Cooling Tower &amp; Corrugated Fill'!$C$12))-32)/1.8/((((C314+0.6*'Cooling Tower &amp; Corrugated Fill'!$C$12))-32)/1.8+243.04)))/('Cooling Tower &amp; Corrugated Fill'!$C$14-(0.61094*EXP(17.625*(((C314+0.6*'Cooling Tower &amp; Corrugated Fill'!$C$12))-32)/1.8/((((C314+0.6*'Cooling Tower &amp; Corrugated Fill'!$C$12))-32)/1.8+243.04))))*(1061+0.444*((C314+0.6*'Cooling Tower &amp; Corrugated Fill'!$C$12))))-('Merkel Solver'!$C$4+'Cooling Tower &amp; Corrugated Fill'!$C$13*0.6*'Cooling Tower &amp; Corrugated Fill'!$C$12)</f>
        <v/>
      </c>
      <c r="G314" s="14">
        <f>(0.24*((C314+0.9*'Cooling Tower &amp; Corrugated Fill'!$C$12))+0.62198*(0.61094*EXP(17.625*(((C314+0.9*'Cooling Tower &amp; Corrugated Fill'!$C$12))-32)/1.8/((((C314+0.9*'Cooling Tower &amp; Corrugated Fill'!$C$12))-32)/1.8+243.04)))/('Cooling Tower &amp; Corrugated Fill'!$C$14-(0.61094*EXP(17.625*(((C314+0.9*'Cooling Tower &amp; Corrugated Fill'!$C$12))-32)/1.8/((((C314+0.9*'Cooling Tower &amp; Corrugated Fill'!$C$12))-32)/1.8+243.04))))*(1061+0.444*((C314+0.9*'Cooling Tower &amp; Corrugated Fill'!$C$12))))-('Merkel Solver'!$C$4+'Cooling Tower &amp; Corrugated Fill'!$C$13*0.9*'Cooling Tower &amp; Corrugated Fill'!$C$12)</f>
        <v/>
      </c>
      <c r="H314" s="22">
        <f>IF(MIN(D314:G314)&lt;=0,99999,'Cooling Tower &amp; Corrugated Fill'!$C$12/4*(1/D314+1/E314+1/F314+1/G314))</f>
        <v/>
      </c>
    </row>
    <row r="315">
      <c r="B315" s="30" t="n">
        <v>30.9</v>
      </c>
      <c r="C315" s="12">
        <f>'Dashboard'!$C$9+B315</f>
        <v/>
      </c>
      <c r="D315" s="14">
        <f>(0.24*((C315+0.1*'Cooling Tower &amp; Corrugated Fill'!$C$12))+0.62198*(0.61094*EXP(17.625*(((C315+0.1*'Cooling Tower &amp; Corrugated Fill'!$C$12))-32)/1.8/((((C315+0.1*'Cooling Tower &amp; Corrugated Fill'!$C$12))-32)/1.8+243.04)))/('Cooling Tower &amp; Corrugated Fill'!$C$14-(0.61094*EXP(17.625*(((C315+0.1*'Cooling Tower &amp; Corrugated Fill'!$C$12))-32)/1.8/((((C315+0.1*'Cooling Tower &amp; Corrugated Fill'!$C$12))-32)/1.8+243.04))))*(1061+0.444*((C315+0.1*'Cooling Tower &amp; Corrugated Fill'!$C$12))))-('Merkel Solver'!$C$4+'Cooling Tower &amp; Corrugated Fill'!$C$13*0.1*'Cooling Tower &amp; Corrugated Fill'!$C$12)</f>
        <v/>
      </c>
      <c r="E315" s="14">
        <f>(0.24*((C315+0.4*'Cooling Tower &amp; Corrugated Fill'!$C$12))+0.62198*(0.61094*EXP(17.625*(((C315+0.4*'Cooling Tower &amp; Corrugated Fill'!$C$12))-32)/1.8/((((C315+0.4*'Cooling Tower &amp; Corrugated Fill'!$C$12))-32)/1.8+243.04)))/('Cooling Tower &amp; Corrugated Fill'!$C$14-(0.61094*EXP(17.625*(((C315+0.4*'Cooling Tower &amp; Corrugated Fill'!$C$12))-32)/1.8/((((C315+0.4*'Cooling Tower &amp; Corrugated Fill'!$C$12))-32)/1.8+243.04))))*(1061+0.444*((C315+0.4*'Cooling Tower &amp; Corrugated Fill'!$C$12))))-('Merkel Solver'!$C$4+'Cooling Tower &amp; Corrugated Fill'!$C$13*0.4*'Cooling Tower &amp; Corrugated Fill'!$C$12)</f>
        <v/>
      </c>
      <c r="F315" s="14">
        <f>(0.24*((C315+0.6*'Cooling Tower &amp; Corrugated Fill'!$C$12))+0.62198*(0.61094*EXP(17.625*(((C315+0.6*'Cooling Tower &amp; Corrugated Fill'!$C$12))-32)/1.8/((((C315+0.6*'Cooling Tower &amp; Corrugated Fill'!$C$12))-32)/1.8+243.04)))/('Cooling Tower &amp; Corrugated Fill'!$C$14-(0.61094*EXP(17.625*(((C315+0.6*'Cooling Tower &amp; Corrugated Fill'!$C$12))-32)/1.8/((((C315+0.6*'Cooling Tower &amp; Corrugated Fill'!$C$12))-32)/1.8+243.04))))*(1061+0.444*((C315+0.6*'Cooling Tower &amp; Corrugated Fill'!$C$12))))-('Merkel Solver'!$C$4+'Cooling Tower &amp; Corrugated Fill'!$C$13*0.6*'Cooling Tower &amp; Corrugated Fill'!$C$12)</f>
        <v/>
      </c>
      <c r="G315" s="14">
        <f>(0.24*((C315+0.9*'Cooling Tower &amp; Corrugated Fill'!$C$12))+0.62198*(0.61094*EXP(17.625*(((C315+0.9*'Cooling Tower &amp; Corrugated Fill'!$C$12))-32)/1.8/((((C315+0.9*'Cooling Tower &amp; Corrugated Fill'!$C$12))-32)/1.8+243.04)))/('Cooling Tower &amp; Corrugated Fill'!$C$14-(0.61094*EXP(17.625*(((C315+0.9*'Cooling Tower &amp; Corrugated Fill'!$C$12))-32)/1.8/((((C315+0.9*'Cooling Tower &amp; Corrugated Fill'!$C$12))-32)/1.8+243.04))))*(1061+0.444*((C315+0.9*'Cooling Tower &amp; Corrugated Fill'!$C$12))))-('Merkel Solver'!$C$4+'Cooling Tower &amp; Corrugated Fill'!$C$13*0.9*'Cooling Tower &amp; Corrugated Fill'!$C$12)</f>
        <v/>
      </c>
      <c r="H315" s="22">
        <f>IF(MIN(D315:G315)&lt;=0,99999,'Cooling Tower &amp; Corrugated Fill'!$C$12/4*(1/D315+1/E315+1/F315+1/G315))</f>
        <v/>
      </c>
    </row>
    <row r="316">
      <c r="B316" s="30" t="n">
        <v>31</v>
      </c>
      <c r="C316" s="12">
        <f>'Dashboard'!$C$9+B316</f>
        <v/>
      </c>
      <c r="D316" s="14">
        <f>(0.24*((C316+0.1*'Cooling Tower &amp; Corrugated Fill'!$C$12))+0.62198*(0.61094*EXP(17.625*(((C316+0.1*'Cooling Tower &amp; Corrugated Fill'!$C$12))-32)/1.8/((((C316+0.1*'Cooling Tower &amp; Corrugated Fill'!$C$12))-32)/1.8+243.04)))/('Cooling Tower &amp; Corrugated Fill'!$C$14-(0.61094*EXP(17.625*(((C316+0.1*'Cooling Tower &amp; Corrugated Fill'!$C$12))-32)/1.8/((((C316+0.1*'Cooling Tower &amp; Corrugated Fill'!$C$12))-32)/1.8+243.04))))*(1061+0.444*((C316+0.1*'Cooling Tower &amp; Corrugated Fill'!$C$12))))-('Merkel Solver'!$C$4+'Cooling Tower &amp; Corrugated Fill'!$C$13*0.1*'Cooling Tower &amp; Corrugated Fill'!$C$12)</f>
        <v/>
      </c>
      <c r="E316" s="14">
        <f>(0.24*((C316+0.4*'Cooling Tower &amp; Corrugated Fill'!$C$12))+0.62198*(0.61094*EXP(17.625*(((C316+0.4*'Cooling Tower &amp; Corrugated Fill'!$C$12))-32)/1.8/((((C316+0.4*'Cooling Tower &amp; Corrugated Fill'!$C$12))-32)/1.8+243.04)))/('Cooling Tower &amp; Corrugated Fill'!$C$14-(0.61094*EXP(17.625*(((C316+0.4*'Cooling Tower &amp; Corrugated Fill'!$C$12))-32)/1.8/((((C316+0.4*'Cooling Tower &amp; Corrugated Fill'!$C$12))-32)/1.8+243.04))))*(1061+0.444*((C316+0.4*'Cooling Tower &amp; Corrugated Fill'!$C$12))))-('Merkel Solver'!$C$4+'Cooling Tower &amp; Corrugated Fill'!$C$13*0.4*'Cooling Tower &amp; Corrugated Fill'!$C$12)</f>
        <v/>
      </c>
      <c r="F316" s="14">
        <f>(0.24*((C316+0.6*'Cooling Tower &amp; Corrugated Fill'!$C$12))+0.62198*(0.61094*EXP(17.625*(((C316+0.6*'Cooling Tower &amp; Corrugated Fill'!$C$12))-32)/1.8/((((C316+0.6*'Cooling Tower &amp; Corrugated Fill'!$C$12))-32)/1.8+243.04)))/('Cooling Tower &amp; Corrugated Fill'!$C$14-(0.61094*EXP(17.625*(((C316+0.6*'Cooling Tower &amp; Corrugated Fill'!$C$12))-32)/1.8/((((C316+0.6*'Cooling Tower &amp; Corrugated Fill'!$C$12))-32)/1.8+243.04))))*(1061+0.444*((C316+0.6*'Cooling Tower &amp; Corrugated Fill'!$C$12))))-('Merkel Solver'!$C$4+'Cooling Tower &amp; Corrugated Fill'!$C$13*0.6*'Cooling Tower &amp; Corrugated Fill'!$C$12)</f>
        <v/>
      </c>
      <c r="G316" s="14">
        <f>(0.24*((C316+0.9*'Cooling Tower &amp; Corrugated Fill'!$C$12))+0.62198*(0.61094*EXP(17.625*(((C316+0.9*'Cooling Tower &amp; Corrugated Fill'!$C$12))-32)/1.8/((((C316+0.9*'Cooling Tower &amp; Corrugated Fill'!$C$12))-32)/1.8+243.04)))/('Cooling Tower &amp; Corrugated Fill'!$C$14-(0.61094*EXP(17.625*(((C316+0.9*'Cooling Tower &amp; Corrugated Fill'!$C$12))-32)/1.8/((((C316+0.9*'Cooling Tower &amp; Corrugated Fill'!$C$12))-32)/1.8+243.04))))*(1061+0.444*((C316+0.9*'Cooling Tower &amp; Corrugated Fill'!$C$12))))-('Merkel Solver'!$C$4+'Cooling Tower &amp; Corrugated Fill'!$C$13*0.9*'Cooling Tower &amp; Corrugated Fill'!$C$12)</f>
        <v/>
      </c>
      <c r="H316" s="22">
        <f>IF(MIN(D316:G316)&lt;=0,99999,'Cooling Tower &amp; Corrugated Fill'!$C$12/4*(1/D316+1/E316+1/F316+1/G316))</f>
        <v/>
      </c>
    </row>
    <row r="317">
      <c r="B317" s="30" t="n">
        <v>31.1</v>
      </c>
      <c r="C317" s="12">
        <f>'Dashboard'!$C$9+B317</f>
        <v/>
      </c>
      <c r="D317" s="14">
        <f>(0.24*((C317+0.1*'Cooling Tower &amp; Corrugated Fill'!$C$12))+0.62198*(0.61094*EXP(17.625*(((C317+0.1*'Cooling Tower &amp; Corrugated Fill'!$C$12))-32)/1.8/((((C317+0.1*'Cooling Tower &amp; Corrugated Fill'!$C$12))-32)/1.8+243.04)))/('Cooling Tower &amp; Corrugated Fill'!$C$14-(0.61094*EXP(17.625*(((C317+0.1*'Cooling Tower &amp; Corrugated Fill'!$C$12))-32)/1.8/((((C317+0.1*'Cooling Tower &amp; Corrugated Fill'!$C$12))-32)/1.8+243.04))))*(1061+0.444*((C317+0.1*'Cooling Tower &amp; Corrugated Fill'!$C$12))))-('Merkel Solver'!$C$4+'Cooling Tower &amp; Corrugated Fill'!$C$13*0.1*'Cooling Tower &amp; Corrugated Fill'!$C$12)</f>
        <v/>
      </c>
      <c r="E317" s="14">
        <f>(0.24*((C317+0.4*'Cooling Tower &amp; Corrugated Fill'!$C$12))+0.62198*(0.61094*EXP(17.625*(((C317+0.4*'Cooling Tower &amp; Corrugated Fill'!$C$12))-32)/1.8/((((C317+0.4*'Cooling Tower &amp; Corrugated Fill'!$C$12))-32)/1.8+243.04)))/('Cooling Tower &amp; Corrugated Fill'!$C$14-(0.61094*EXP(17.625*(((C317+0.4*'Cooling Tower &amp; Corrugated Fill'!$C$12))-32)/1.8/((((C317+0.4*'Cooling Tower &amp; Corrugated Fill'!$C$12))-32)/1.8+243.04))))*(1061+0.444*((C317+0.4*'Cooling Tower &amp; Corrugated Fill'!$C$12))))-('Merkel Solver'!$C$4+'Cooling Tower &amp; Corrugated Fill'!$C$13*0.4*'Cooling Tower &amp; Corrugated Fill'!$C$12)</f>
        <v/>
      </c>
      <c r="F317" s="14">
        <f>(0.24*((C317+0.6*'Cooling Tower &amp; Corrugated Fill'!$C$12))+0.62198*(0.61094*EXP(17.625*(((C317+0.6*'Cooling Tower &amp; Corrugated Fill'!$C$12))-32)/1.8/((((C317+0.6*'Cooling Tower &amp; Corrugated Fill'!$C$12))-32)/1.8+243.04)))/('Cooling Tower &amp; Corrugated Fill'!$C$14-(0.61094*EXP(17.625*(((C317+0.6*'Cooling Tower &amp; Corrugated Fill'!$C$12))-32)/1.8/((((C317+0.6*'Cooling Tower &amp; Corrugated Fill'!$C$12))-32)/1.8+243.04))))*(1061+0.444*((C317+0.6*'Cooling Tower &amp; Corrugated Fill'!$C$12))))-('Merkel Solver'!$C$4+'Cooling Tower &amp; Corrugated Fill'!$C$13*0.6*'Cooling Tower &amp; Corrugated Fill'!$C$12)</f>
        <v/>
      </c>
      <c r="G317" s="14">
        <f>(0.24*((C317+0.9*'Cooling Tower &amp; Corrugated Fill'!$C$12))+0.62198*(0.61094*EXP(17.625*(((C317+0.9*'Cooling Tower &amp; Corrugated Fill'!$C$12))-32)/1.8/((((C317+0.9*'Cooling Tower &amp; Corrugated Fill'!$C$12))-32)/1.8+243.04)))/('Cooling Tower &amp; Corrugated Fill'!$C$14-(0.61094*EXP(17.625*(((C317+0.9*'Cooling Tower &amp; Corrugated Fill'!$C$12))-32)/1.8/((((C317+0.9*'Cooling Tower &amp; Corrugated Fill'!$C$12))-32)/1.8+243.04))))*(1061+0.444*((C317+0.9*'Cooling Tower &amp; Corrugated Fill'!$C$12))))-('Merkel Solver'!$C$4+'Cooling Tower &amp; Corrugated Fill'!$C$13*0.9*'Cooling Tower &amp; Corrugated Fill'!$C$12)</f>
        <v/>
      </c>
      <c r="H317" s="22">
        <f>IF(MIN(D317:G317)&lt;=0,99999,'Cooling Tower &amp; Corrugated Fill'!$C$12/4*(1/D317+1/E317+1/F317+1/G317))</f>
        <v/>
      </c>
    </row>
    <row r="318">
      <c r="B318" s="30" t="n">
        <v>31.2</v>
      </c>
      <c r="C318" s="12">
        <f>'Dashboard'!$C$9+B318</f>
        <v/>
      </c>
      <c r="D318" s="14">
        <f>(0.24*((C318+0.1*'Cooling Tower &amp; Corrugated Fill'!$C$12))+0.62198*(0.61094*EXP(17.625*(((C318+0.1*'Cooling Tower &amp; Corrugated Fill'!$C$12))-32)/1.8/((((C318+0.1*'Cooling Tower &amp; Corrugated Fill'!$C$12))-32)/1.8+243.04)))/('Cooling Tower &amp; Corrugated Fill'!$C$14-(0.61094*EXP(17.625*(((C318+0.1*'Cooling Tower &amp; Corrugated Fill'!$C$12))-32)/1.8/((((C318+0.1*'Cooling Tower &amp; Corrugated Fill'!$C$12))-32)/1.8+243.04))))*(1061+0.444*((C318+0.1*'Cooling Tower &amp; Corrugated Fill'!$C$12))))-('Merkel Solver'!$C$4+'Cooling Tower &amp; Corrugated Fill'!$C$13*0.1*'Cooling Tower &amp; Corrugated Fill'!$C$12)</f>
        <v/>
      </c>
      <c r="E318" s="14">
        <f>(0.24*((C318+0.4*'Cooling Tower &amp; Corrugated Fill'!$C$12))+0.62198*(0.61094*EXP(17.625*(((C318+0.4*'Cooling Tower &amp; Corrugated Fill'!$C$12))-32)/1.8/((((C318+0.4*'Cooling Tower &amp; Corrugated Fill'!$C$12))-32)/1.8+243.04)))/('Cooling Tower &amp; Corrugated Fill'!$C$14-(0.61094*EXP(17.625*(((C318+0.4*'Cooling Tower &amp; Corrugated Fill'!$C$12))-32)/1.8/((((C318+0.4*'Cooling Tower &amp; Corrugated Fill'!$C$12))-32)/1.8+243.04))))*(1061+0.444*((C318+0.4*'Cooling Tower &amp; Corrugated Fill'!$C$12))))-('Merkel Solver'!$C$4+'Cooling Tower &amp; Corrugated Fill'!$C$13*0.4*'Cooling Tower &amp; Corrugated Fill'!$C$12)</f>
        <v/>
      </c>
      <c r="F318" s="14">
        <f>(0.24*((C318+0.6*'Cooling Tower &amp; Corrugated Fill'!$C$12))+0.62198*(0.61094*EXP(17.625*(((C318+0.6*'Cooling Tower &amp; Corrugated Fill'!$C$12))-32)/1.8/((((C318+0.6*'Cooling Tower &amp; Corrugated Fill'!$C$12))-32)/1.8+243.04)))/('Cooling Tower &amp; Corrugated Fill'!$C$14-(0.61094*EXP(17.625*(((C318+0.6*'Cooling Tower &amp; Corrugated Fill'!$C$12))-32)/1.8/((((C318+0.6*'Cooling Tower &amp; Corrugated Fill'!$C$12))-32)/1.8+243.04))))*(1061+0.444*((C318+0.6*'Cooling Tower &amp; Corrugated Fill'!$C$12))))-('Merkel Solver'!$C$4+'Cooling Tower &amp; Corrugated Fill'!$C$13*0.6*'Cooling Tower &amp; Corrugated Fill'!$C$12)</f>
        <v/>
      </c>
      <c r="G318" s="14">
        <f>(0.24*((C318+0.9*'Cooling Tower &amp; Corrugated Fill'!$C$12))+0.62198*(0.61094*EXP(17.625*(((C318+0.9*'Cooling Tower &amp; Corrugated Fill'!$C$12))-32)/1.8/((((C318+0.9*'Cooling Tower &amp; Corrugated Fill'!$C$12))-32)/1.8+243.04)))/('Cooling Tower &amp; Corrugated Fill'!$C$14-(0.61094*EXP(17.625*(((C318+0.9*'Cooling Tower &amp; Corrugated Fill'!$C$12))-32)/1.8/((((C318+0.9*'Cooling Tower &amp; Corrugated Fill'!$C$12))-32)/1.8+243.04))))*(1061+0.444*((C318+0.9*'Cooling Tower &amp; Corrugated Fill'!$C$12))))-('Merkel Solver'!$C$4+'Cooling Tower &amp; Corrugated Fill'!$C$13*0.9*'Cooling Tower &amp; Corrugated Fill'!$C$12)</f>
        <v/>
      </c>
      <c r="H318" s="22">
        <f>IF(MIN(D318:G318)&lt;=0,99999,'Cooling Tower &amp; Corrugated Fill'!$C$12/4*(1/D318+1/E318+1/F318+1/G318))</f>
        <v/>
      </c>
    </row>
    <row r="319">
      <c r="B319" s="30" t="n">
        <v>31.3</v>
      </c>
      <c r="C319" s="12">
        <f>'Dashboard'!$C$9+B319</f>
        <v/>
      </c>
      <c r="D319" s="14">
        <f>(0.24*((C319+0.1*'Cooling Tower &amp; Corrugated Fill'!$C$12))+0.62198*(0.61094*EXP(17.625*(((C319+0.1*'Cooling Tower &amp; Corrugated Fill'!$C$12))-32)/1.8/((((C319+0.1*'Cooling Tower &amp; Corrugated Fill'!$C$12))-32)/1.8+243.04)))/('Cooling Tower &amp; Corrugated Fill'!$C$14-(0.61094*EXP(17.625*(((C319+0.1*'Cooling Tower &amp; Corrugated Fill'!$C$12))-32)/1.8/((((C319+0.1*'Cooling Tower &amp; Corrugated Fill'!$C$12))-32)/1.8+243.04))))*(1061+0.444*((C319+0.1*'Cooling Tower &amp; Corrugated Fill'!$C$12))))-('Merkel Solver'!$C$4+'Cooling Tower &amp; Corrugated Fill'!$C$13*0.1*'Cooling Tower &amp; Corrugated Fill'!$C$12)</f>
        <v/>
      </c>
      <c r="E319" s="14">
        <f>(0.24*((C319+0.4*'Cooling Tower &amp; Corrugated Fill'!$C$12))+0.62198*(0.61094*EXP(17.625*(((C319+0.4*'Cooling Tower &amp; Corrugated Fill'!$C$12))-32)/1.8/((((C319+0.4*'Cooling Tower &amp; Corrugated Fill'!$C$12))-32)/1.8+243.04)))/('Cooling Tower &amp; Corrugated Fill'!$C$14-(0.61094*EXP(17.625*(((C319+0.4*'Cooling Tower &amp; Corrugated Fill'!$C$12))-32)/1.8/((((C319+0.4*'Cooling Tower &amp; Corrugated Fill'!$C$12))-32)/1.8+243.04))))*(1061+0.444*((C319+0.4*'Cooling Tower &amp; Corrugated Fill'!$C$12))))-('Merkel Solver'!$C$4+'Cooling Tower &amp; Corrugated Fill'!$C$13*0.4*'Cooling Tower &amp; Corrugated Fill'!$C$12)</f>
        <v/>
      </c>
      <c r="F319" s="14">
        <f>(0.24*((C319+0.6*'Cooling Tower &amp; Corrugated Fill'!$C$12))+0.62198*(0.61094*EXP(17.625*(((C319+0.6*'Cooling Tower &amp; Corrugated Fill'!$C$12))-32)/1.8/((((C319+0.6*'Cooling Tower &amp; Corrugated Fill'!$C$12))-32)/1.8+243.04)))/('Cooling Tower &amp; Corrugated Fill'!$C$14-(0.61094*EXP(17.625*(((C319+0.6*'Cooling Tower &amp; Corrugated Fill'!$C$12))-32)/1.8/((((C319+0.6*'Cooling Tower &amp; Corrugated Fill'!$C$12))-32)/1.8+243.04))))*(1061+0.444*((C319+0.6*'Cooling Tower &amp; Corrugated Fill'!$C$12))))-('Merkel Solver'!$C$4+'Cooling Tower &amp; Corrugated Fill'!$C$13*0.6*'Cooling Tower &amp; Corrugated Fill'!$C$12)</f>
        <v/>
      </c>
      <c r="G319" s="14">
        <f>(0.24*((C319+0.9*'Cooling Tower &amp; Corrugated Fill'!$C$12))+0.62198*(0.61094*EXP(17.625*(((C319+0.9*'Cooling Tower &amp; Corrugated Fill'!$C$12))-32)/1.8/((((C319+0.9*'Cooling Tower &amp; Corrugated Fill'!$C$12))-32)/1.8+243.04)))/('Cooling Tower &amp; Corrugated Fill'!$C$14-(0.61094*EXP(17.625*(((C319+0.9*'Cooling Tower &amp; Corrugated Fill'!$C$12))-32)/1.8/((((C319+0.9*'Cooling Tower &amp; Corrugated Fill'!$C$12))-32)/1.8+243.04))))*(1061+0.444*((C319+0.9*'Cooling Tower &amp; Corrugated Fill'!$C$12))))-('Merkel Solver'!$C$4+'Cooling Tower &amp; Corrugated Fill'!$C$13*0.9*'Cooling Tower &amp; Corrugated Fill'!$C$12)</f>
        <v/>
      </c>
      <c r="H319" s="22">
        <f>IF(MIN(D319:G319)&lt;=0,99999,'Cooling Tower &amp; Corrugated Fill'!$C$12/4*(1/D319+1/E319+1/F319+1/G319))</f>
        <v/>
      </c>
    </row>
    <row r="320">
      <c r="B320" s="30" t="n">
        <v>31.4</v>
      </c>
      <c r="C320" s="12">
        <f>'Dashboard'!$C$9+B320</f>
        <v/>
      </c>
      <c r="D320" s="14">
        <f>(0.24*((C320+0.1*'Cooling Tower &amp; Corrugated Fill'!$C$12))+0.62198*(0.61094*EXP(17.625*(((C320+0.1*'Cooling Tower &amp; Corrugated Fill'!$C$12))-32)/1.8/((((C320+0.1*'Cooling Tower &amp; Corrugated Fill'!$C$12))-32)/1.8+243.04)))/('Cooling Tower &amp; Corrugated Fill'!$C$14-(0.61094*EXP(17.625*(((C320+0.1*'Cooling Tower &amp; Corrugated Fill'!$C$12))-32)/1.8/((((C320+0.1*'Cooling Tower &amp; Corrugated Fill'!$C$12))-32)/1.8+243.04))))*(1061+0.444*((C320+0.1*'Cooling Tower &amp; Corrugated Fill'!$C$12))))-('Merkel Solver'!$C$4+'Cooling Tower &amp; Corrugated Fill'!$C$13*0.1*'Cooling Tower &amp; Corrugated Fill'!$C$12)</f>
        <v/>
      </c>
      <c r="E320" s="14">
        <f>(0.24*((C320+0.4*'Cooling Tower &amp; Corrugated Fill'!$C$12))+0.62198*(0.61094*EXP(17.625*(((C320+0.4*'Cooling Tower &amp; Corrugated Fill'!$C$12))-32)/1.8/((((C320+0.4*'Cooling Tower &amp; Corrugated Fill'!$C$12))-32)/1.8+243.04)))/('Cooling Tower &amp; Corrugated Fill'!$C$14-(0.61094*EXP(17.625*(((C320+0.4*'Cooling Tower &amp; Corrugated Fill'!$C$12))-32)/1.8/((((C320+0.4*'Cooling Tower &amp; Corrugated Fill'!$C$12))-32)/1.8+243.04))))*(1061+0.444*((C320+0.4*'Cooling Tower &amp; Corrugated Fill'!$C$12))))-('Merkel Solver'!$C$4+'Cooling Tower &amp; Corrugated Fill'!$C$13*0.4*'Cooling Tower &amp; Corrugated Fill'!$C$12)</f>
        <v/>
      </c>
      <c r="F320" s="14">
        <f>(0.24*((C320+0.6*'Cooling Tower &amp; Corrugated Fill'!$C$12))+0.62198*(0.61094*EXP(17.625*(((C320+0.6*'Cooling Tower &amp; Corrugated Fill'!$C$12))-32)/1.8/((((C320+0.6*'Cooling Tower &amp; Corrugated Fill'!$C$12))-32)/1.8+243.04)))/('Cooling Tower &amp; Corrugated Fill'!$C$14-(0.61094*EXP(17.625*(((C320+0.6*'Cooling Tower &amp; Corrugated Fill'!$C$12))-32)/1.8/((((C320+0.6*'Cooling Tower &amp; Corrugated Fill'!$C$12))-32)/1.8+243.04))))*(1061+0.444*((C320+0.6*'Cooling Tower &amp; Corrugated Fill'!$C$12))))-('Merkel Solver'!$C$4+'Cooling Tower &amp; Corrugated Fill'!$C$13*0.6*'Cooling Tower &amp; Corrugated Fill'!$C$12)</f>
        <v/>
      </c>
      <c r="G320" s="14">
        <f>(0.24*((C320+0.9*'Cooling Tower &amp; Corrugated Fill'!$C$12))+0.62198*(0.61094*EXP(17.625*(((C320+0.9*'Cooling Tower &amp; Corrugated Fill'!$C$12))-32)/1.8/((((C320+0.9*'Cooling Tower &amp; Corrugated Fill'!$C$12))-32)/1.8+243.04)))/('Cooling Tower &amp; Corrugated Fill'!$C$14-(0.61094*EXP(17.625*(((C320+0.9*'Cooling Tower &amp; Corrugated Fill'!$C$12))-32)/1.8/((((C320+0.9*'Cooling Tower &amp; Corrugated Fill'!$C$12))-32)/1.8+243.04))))*(1061+0.444*((C320+0.9*'Cooling Tower &amp; Corrugated Fill'!$C$12))))-('Merkel Solver'!$C$4+'Cooling Tower &amp; Corrugated Fill'!$C$13*0.9*'Cooling Tower &amp; Corrugated Fill'!$C$12)</f>
        <v/>
      </c>
      <c r="H320" s="22">
        <f>IF(MIN(D320:G320)&lt;=0,99999,'Cooling Tower &amp; Corrugated Fill'!$C$12/4*(1/D320+1/E320+1/F320+1/G320))</f>
        <v/>
      </c>
    </row>
    <row r="321">
      <c r="B321" s="30" t="n">
        <v>31.5</v>
      </c>
      <c r="C321" s="12">
        <f>'Dashboard'!$C$9+B321</f>
        <v/>
      </c>
      <c r="D321" s="14">
        <f>(0.24*((C321+0.1*'Cooling Tower &amp; Corrugated Fill'!$C$12))+0.62198*(0.61094*EXP(17.625*(((C321+0.1*'Cooling Tower &amp; Corrugated Fill'!$C$12))-32)/1.8/((((C321+0.1*'Cooling Tower &amp; Corrugated Fill'!$C$12))-32)/1.8+243.04)))/('Cooling Tower &amp; Corrugated Fill'!$C$14-(0.61094*EXP(17.625*(((C321+0.1*'Cooling Tower &amp; Corrugated Fill'!$C$12))-32)/1.8/((((C321+0.1*'Cooling Tower &amp; Corrugated Fill'!$C$12))-32)/1.8+243.04))))*(1061+0.444*((C321+0.1*'Cooling Tower &amp; Corrugated Fill'!$C$12))))-('Merkel Solver'!$C$4+'Cooling Tower &amp; Corrugated Fill'!$C$13*0.1*'Cooling Tower &amp; Corrugated Fill'!$C$12)</f>
        <v/>
      </c>
      <c r="E321" s="14">
        <f>(0.24*((C321+0.4*'Cooling Tower &amp; Corrugated Fill'!$C$12))+0.62198*(0.61094*EXP(17.625*(((C321+0.4*'Cooling Tower &amp; Corrugated Fill'!$C$12))-32)/1.8/((((C321+0.4*'Cooling Tower &amp; Corrugated Fill'!$C$12))-32)/1.8+243.04)))/('Cooling Tower &amp; Corrugated Fill'!$C$14-(0.61094*EXP(17.625*(((C321+0.4*'Cooling Tower &amp; Corrugated Fill'!$C$12))-32)/1.8/((((C321+0.4*'Cooling Tower &amp; Corrugated Fill'!$C$12))-32)/1.8+243.04))))*(1061+0.444*((C321+0.4*'Cooling Tower &amp; Corrugated Fill'!$C$12))))-('Merkel Solver'!$C$4+'Cooling Tower &amp; Corrugated Fill'!$C$13*0.4*'Cooling Tower &amp; Corrugated Fill'!$C$12)</f>
        <v/>
      </c>
      <c r="F321" s="14">
        <f>(0.24*((C321+0.6*'Cooling Tower &amp; Corrugated Fill'!$C$12))+0.62198*(0.61094*EXP(17.625*(((C321+0.6*'Cooling Tower &amp; Corrugated Fill'!$C$12))-32)/1.8/((((C321+0.6*'Cooling Tower &amp; Corrugated Fill'!$C$12))-32)/1.8+243.04)))/('Cooling Tower &amp; Corrugated Fill'!$C$14-(0.61094*EXP(17.625*(((C321+0.6*'Cooling Tower &amp; Corrugated Fill'!$C$12))-32)/1.8/((((C321+0.6*'Cooling Tower &amp; Corrugated Fill'!$C$12))-32)/1.8+243.04))))*(1061+0.444*((C321+0.6*'Cooling Tower &amp; Corrugated Fill'!$C$12))))-('Merkel Solver'!$C$4+'Cooling Tower &amp; Corrugated Fill'!$C$13*0.6*'Cooling Tower &amp; Corrugated Fill'!$C$12)</f>
        <v/>
      </c>
      <c r="G321" s="14">
        <f>(0.24*((C321+0.9*'Cooling Tower &amp; Corrugated Fill'!$C$12))+0.62198*(0.61094*EXP(17.625*(((C321+0.9*'Cooling Tower &amp; Corrugated Fill'!$C$12))-32)/1.8/((((C321+0.9*'Cooling Tower &amp; Corrugated Fill'!$C$12))-32)/1.8+243.04)))/('Cooling Tower &amp; Corrugated Fill'!$C$14-(0.61094*EXP(17.625*(((C321+0.9*'Cooling Tower &amp; Corrugated Fill'!$C$12))-32)/1.8/((((C321+0.9*'Cooling Tower &amp; Corrugated Fill'!$C$12))-32)/1.8+243.04))))*(1061+0.444*((C321+0.9*'Cooling Tower &amp; Corrugated Fill'!$C$12))))-('Merkel Solver'!$C$4+'Cooling Tower &amp; Corrugated Fill'!$C$13*0.9*'Cooling Tower &amp; Corrugated Fill'!$C$12)</f>
        <v/>
      </c>
      <c r="H321" s="22">
        <f>IF(MIN(D321:G321)&lt;=0,99999,'Cooling Tower &amp; Corrugated Fill'!$C$12/4*(1/D321+1/E321+1/F321+1/G321))</f>
        <v/>
      </c>
    </row>
    <row r="322">
      <c r="B322" s="30" t="n">
        <v>31.6</v>
      </c>
      <c r="C322" s="12">
        <f>'Dashboard'!$C$9+B322</f>
        <v/>
      </c>
      <c r="D322" s="14">
        <f>(0.24*((C322+0.1*'Cooling Tower &amp; Corrugated Fill'!$C$12))+0.62198*(0.61094*EXP(17.625*(((C322+0.1*'Cooling Tower &amp; Corrugated Fill'!$C$12))-32)/1.8/((((C322+0.1*'Cooling Tower &amp; Corrugated Fill'!$C$12))-32)/1.8+243.04)))/('Cooling Tower &amp; Corrugated Fill'!$C$14-(0.61094*EXP(17.625*(((C322+0.1*'Cooling Tower &amp; Corrugated Fill'!$C$12))-32)/1.8/((((C322+0.1*'Cooling Tower &amp; Corrugated Fill'!$C$12))-32)/1.8+243.04))))*(1061+0.444*((C322+0.1*'Cooling Tower &amp; Corrugated Fill'!$C$12))))-('Merkel Solver'!$C$4+'Cooling Tower &amp; Corrugated Fill'!$C$13*0.1*'Cooling Tower &amp; Corrugated Fill'!$C$12)</f>
        <v/>
      </c>
      <c r="E322" s="14">
        <f>(0.24*((C322+0.4*'Cooling Tower &amp; Corrugated Fill'!$C$12))+0.62198*(0.61094*EXP(17.625*(((C322+0.4*'Cooling Tower &amp; Corrugated Fill'!$C$12))-32)/1.8/((((C322+0.4*'Cooling Tower &amp; Corrugated Fill'!$C$12))-32)/1.8+243.04)))/('Cooling Tower &amp; Corrugated Fill'!$C$14-(0.61094*EXP(17.625*(((C322+0.4*'Cooling Tower &amp; Corrugated Fill'!$C$12))-32)/1.8/((((C322+0.4*'Cooling Tower &amp; Corrugated Fill'!$C$12))-32)/1.8+243.04))))*(1061+0.444*((C322+0.4*'Cooling Tower &amp; Corrugated Fill'!$C$12))))-('Merkel Solver'!$C$4+'Cooling Tower &amp; Corrugated Fill'!$C$13*0.4*'Cooling Tower &amp; Corrugated Fill'!$C$12)</f>
        <v/>
      </c>
      <c r="F322" s="14">
        <f>(0.24*((C322+0.6*'Cooling Tower &amp; Corrugated Fill'!$C$12))+0.62198*(0.61094*EXP(17.625*(((C322+0.6*'Cooling Tower &amp; Corrugated Fill'!$C$12))-32)/1.8/((((C322+0.6*'Cooling Tower &amp; Corrugated Fill'!$C$12))-32)/1.8+243.04)))/('Cooling Tower &amp; Corrugated Fill'!$C$14-(0.61094*EXP(17.625*(((C322+0.6*'Cooling Tower &amp; Corrugated Fill'!$C$12))-32)/1.8/((((C322+0.6*'Cooling Tower &amp; Corrugated Fill'!$C$12))-32)/1.8+243.04))))*(1061+0.444*((C322+0.6*'Cooling Tower &amp; Corrugated Fill'!$C$12))))-('Merkel Solver'!$C$4+'Cooling Tower &amp; Corrugated Fill'!$C$13*0.6*'Cooling Tower &amp; Corrugated Fill'!$C$12)</f>
        <v/>
      </c>
      <c r="G322" s="14">
        <f>(0.24*((C322+0.9*'Cooling Tower &amp; Corrugated Fill'!$C$12))+0.62198*(0.61094*EXP(17.625*(((C322+0.9*'Cooling Tower &amp; Corrugated Fill'!$C$12))-32)/1.8/((((C322+0.9*'Cooling Tower &amp; Corrugated Fill'!$C$12))-32)/1.8+243.04)))/('Cooling Tower &amp; Corrugated Fill'!$C$14-(0.61094*EXP(17.625*(((C322+0.9*'Cooling Tower &amp; Corrugated Fill'!$C$12))-32)/1.8/((((C322+0.9*'Cooling Tower &amp; Corrugated Fill'!$C$12))-32)/1.8+243.04))))*(1061+0.444*((C322+0.9*'Cooling Tower &amp; Corrugated Fill'!$C$12))))-('Merkel Solver'!$C$4+'Cooling Tower &amp; Corrugated Fill'!$C$13*0.9*'Cooling Tower &amp; Corrugated Fill'!$C$12)</f>
        <v/>
      </c>
      <c r="H322" s="22">
        <f>IF(MIN(D322:G322)&lt;=0,99999,'Cooling Tower &amp; Corrugated Fill'!$C$12/4*(1/D322+1/E322+1/F322+1/G322))</f>
        <v/>
      </c>
    </row>
    <row r="323">
      <c r="B323" s="30" t="n">
        <v>31.7</v>
      </c>
      <c r="C323" s="12">
        <f>'Dashboard'!$C$9+B323</f>
        <v/>
      </c>
      <c r="D323" s="14">
        <f>(0.24*((C323+0.1*'Cooling Tower &amp; Corrugated Fill'!$C$12))+0.62198*(0.61094*EXP(17.625*(((C323+0.1*'Cooling Tower &amp; Corrugated Fill'!$C$12))-32)/1.8/((((C323+0.1*'Cooling Tower &amp; Corrugated Fill'!$C$12))-32)/1.8+243.04)))/('Cooling Tower &amp; Corrugated Fill'!$C$14-(0.61094*EXP(17.625*(((C323+0.1*'Cooling Tower &amp; Corrugated Fill'!$C$12))-32)/1.8/((((C323+0.1*'Cooling Tower &amp; Corrugated Fill'!$C$12))-32)/1.8+243.04))))*(1061+0.444*((C323+0.1*'Cooling Tower &amp; Corrugated Fill'!$C$12))))-('Merkel Solver'!$C$4+'Cooling Tower &amp; Corrugated Fill'!$C$13*0.1*'Cooling Tower &amp; Corrugated Fill'!$C$12)</f>
        <v/>
      </c>
      <c r="E323" s="14">
        <f>(0.24*((C323+0.4*'Cooling Tower &amp; Corrugated Fill'!$C$12))+0.62198*(0.61094*EXP(17.625*(((C323+0.4*'Cooling Tower &amp; Corrugated Fill'!$C$12))-32)/1.8/((((C323+0.4*'Cooling Tower &amp; Corrugated Fill'!$C$12))-32)/1.8+243.04)))/('Cooling Tower &amp; Corrugated Fill'!$C$14-(0.61094*EXP(17.625*(((C323+0.4*'Cooling Tower &amp; Corrugated Fill'!$C$12))-32)/1.8/((((C323+0.4*'Cooling Tower &amp; Corrugated Fill'!$C$12))-32)/1.8+243.04))))*(1061+0.444*((C323+0.4*'Cooling Tower &amp; Corrugated Fill'!$C$12))))-('Merkel Solver'!$C$4+'Cooling Tower &amp; Corrugated Fill'!$C$13*0.4*'Cooling Tower &amp; Corrugated Fill'!$C$12)</f>
        <v/>
      </c>
      <c r="F323" s="14">
        <f>(0.24*((C323+0.6*'Cooling Tower &amp; Corrugated Fill'!$C$12))+0.62198*(0.61094*EXP(17.625*(((C323+0.6*'Cooling Tower &amp; Corrugated Fill'!$C$12))-32)/1.8/((((C323+0.6*'Cooling Tower &amp; Corrugated Fill'!$C$12))-32)/1.8+243.04)))/('Cooling Tower &amp; Corrugated Fill'!$C$14-(0.61094*EXP(17.625*(((C323+0.6*'Cooling Tower &amp; Corrugated Fill'!$C$12))-32)/1.8/((((C323+0.6*'Cooling Tower &amp; Corrugated Fill'!$C$12))-32)/1.8+243.04))))*(1061+0.444*((C323+0.6*'Cooling Tower &amp; Corrugated Fill'!$C$12))))-('Merkel Solver'!$C$4+'Cooling Tower &amp; Corrugated Fill'!$C$13*0.6*'Cooling Tower &amp; Corrugated Fill'!$C$12)</f>
        <v/>
      </c>
      <c r="G323" s="14">
        <f>(0.24*((C323+0.9*'Cooling Tower &amp; Corrugated Fill'!$C$12))+0.62198*(0.61094*EXP(17.625*(((C323+0.9*'Cooling Tower &amp; Corrugated Fill'!$C$12))-32)/1.8/((((C323+0.9*'Cooling Tower &amp; Corrugated Fill'!$C$12))-32)/1.8+243.04)))/('Cooling Tower &amp; Corrugated Fill'!$C$14-(0.61094*EXP(17.625*(((C323+0.9*'Cooling Tower &amp; Corrugated Fill'!$C$12))-32)/1.8/((((C323+0.9*'Cooling Tower &amp; Corrugated Fill'!$C$12))-32)/1.8+243.04))))*(1061+0.444*((C323+0.9*'Cooling Tower &amp; Corrugated Fill'!$C$12))))-('Merkel Solver'!$C$4+'Cooling Tower &amp; Corrugated Fill'!$C$13*0.9*'Cooling Tower &amp; Corrugated Fill'!$C$12)</f>
        <v/>
      </c>
      <c r="H323" s="22">
        <f>IF(MIN(D323:G323)&lt;=0,99999,'Cooling Tower &amp; Corrugated Fill'!$C$12/4*(1/D323+1/E323+1/F323+1/G323))</f>
        <v/>
      </c>
    </row>
    <row r="324">
      <c r="B324" s="30" t="n">
        <v>31.8</v>
      </c>
      <c r="C324" s="12">
        <f>'Dashboard'!$C$9+B324</f>
        <v/>
      </c>
      <c r="D324" s="14">
        <f>(0.24*((C324+0.1*'Cooling Tower &amp; Corrugated Fill'!$C$12))+0.62198*(0.61094*EXP(17.625*(((C324+0.1*'Cooling Tower &amp; Corrugated Fill'!$C$12))-32)/1.8/((((C324+0.1*'Cooling Tower &amp; Corrugated Fill'!$C$12))-32)/1.8+243.04)))/('Cooling Tower &amp; Corrugated Fill'!$C$14-(0.61094*EXP(17.625*(((C324+0.1*'Cooling Tower &amp; Corrugated Fill'!$C$12))-32)/1.8/((((C324+0.1*'Cooling Tower &amp; Corrugated Fill'!$C$12))-32)/1.8+243.04))))*(1061+0.444*((C324+0.1*'Cooling Tower &amp; Corrugated Fill'!$C$12))))-('Merkel Solver'!$C$4+'Cooling Tower &amp; Corrugated Fill'!$C$13*0.1*'Cooling Tower &amp; Corrugated Fill'!$C$12)</f>
        <v/>
      </c>
      <c r="E324" s="14">
        <f>(0.24*((C324+0.4*'Cooling Tower &amp; Corrugated Fill'!$C$12))+0.62198*(0.61094*EXP(17.625*(((C324+0.4*'Cooling Tower &amp; Corrugated Fill'!$C$12))-32)/1.8/((((C324+0.4*'Cooling Tower &amp; Corrugated Fill'!$C$12))-32)/1.8+243.04)))/('Cooling Tower &amp; Corrugated Fill'!$C$14-(0.61094*EXP(17.625*(((C324+0.4*'Cooling Tower &amp; Corrugated Fill'!$C$12))-32)/1.8/((((C324+0.4*'Cooling Tower &amp; Corrugated Fill'!$C$12))-32)/1.8+243.04))))*(1061+0.444*((C324+0.4*'Cooling Tower &amp; Corrugated Fill'!$C$12))))-('Merkel Solver'!$C$4+'Cooling Tower &amp; Corrugated Fill'!$C$13*0.4*'Cooling Tower &amp; Corrugated Fill'!$C$12)</f>
        <v/>
      </c>
      <c r="F324" s="14">
        <f>(0.24*((C324+0.6*'Cooling Tower &amp; Corrugated Fill'!$C$12))+0.62198*(0.61094*EXP(17.625*(((C324+0.6*'Cooling Tower &amp; Corrugated Fill'!$C$12))-32)/1.8/((((C324+0.6*'Cooling Tower &amp; Corrugated Fill'!$C$12))-32)/1.8+243.04)))/('Cooling Tower &amp; Corrugated Fill'!$C$14-(0.61094*EXP(17.625*(((C324+0.6*'Cooling Tower &amp; Corrugated Fill'!$C$12))-32)/1.8/((((C324+0.6*'Cooling Tower &amp; Corrugated Fill'!$C$12))-32)/1.8+243.04))))*(1061+0.444*((C324+0.6*'Cooling Tower &amp; Corrugated Fill'!$C$12))))-('Merkel Solver'!$C$4+'Cooling Tower &amp; Corrugated Fill'!$C$13*0.6*'Cooling Tower &amp; Corrugated Fill'!$C$12)</f>
        <v/>
      </c>
      <c r="G324" s="14">
        <f>(0.24*((C324+0.9*'Cooling Tower &amp; Corrugated Fill'!$C$12))+0.62198*(0.61094*EXP(17.625*(((C324+0.9*'Cooling Tower &amp; Corrugated Fill'!$C$12))-32)/1.8/((((C324+0.9*'Cooling Tower &amp; Corrugated Fill'!$C$12))-32)/1.8+243.04)))/('Cooling Tower &amp; Corrugated Fill'!$C$14-(0.61094*EXP(17.625*(((C324+0.9*'Cooling Tower &amp; Corrugated Fill'!$C$12))-32)/1.8/((((C324+0.9*'Cooling Tower &amp; Corrugated Fill'!$C$12))-32)/1.8+243.04))))*(1061+0.444*((C324+0.9*'Cooling Tower &amp; Corrugated Fill'!$C$12))))-('Merkel Solver'!$C$4+'Cooling Tower &amp; Corrugated Fill'!$C$13*0.9*'Cooling Tower &amp; Corrugated Fill'!$C$12)</f>
        <v/>
      </c>
      <c r="H324" s="22">
        <f>IF(MIN(D324:G324)&lt;=0,99999,'Cooling Tower &amp; Corrugated Fill'!$C$12/4*(1/D324+1/E324+1/F324+1/G324))</f>
        <v/>
      </c>
    </row>
    <row r="325">
      <c r="B325" s="30" t="n">
        <v>31.9</v>
      </c>
      <c r="C325" s="12">
        <f>'Dashboard'!$C$9+B325</f>
        <v/>
      </c>
      <c r="D325" s="14">
        <f>(0.24*((C325+0.1*'Cooling Tower &amp; Corrugated Fill'!$C$12))+0.62198*(0.61094*EXP(17.625*(((C325+0.1*'Cooling Tower &amp; Corrugated Fill'!$C$12))-32)/1.8/((((C325+0.1*'Cooling Tower &amp; Corrugated Fill'!$C$12))-32)/1.8+243.04)))/('Cooling Tower &amp; Corrugated Fill'!$C$14-(0.61094*EXP(17.625*(((C325+0.1*'Cooling Tower &amp; Corrugated Fill'!$C$12))-32)/1.8/((((C325+0.1*'Cooling Tower &amp; Corrugated Fill'!$C$12))-32)/1.8+243.04))))*(1061+0.444*((C325+0.1*'Cooling Tower &amp; Corrugated Fill'!$C$12))))-('Merkel Solver'!$C$4+'Cooling Tower &amp; Corrugated Fill'!$C$13*0.1*'Cooling Tower &amp; Corrugated Fill'!$C$12)</f>
        <v/>
      </c>
      <c r="E325" s="14">
        <f>(0.24*((C325+0.4*'Cooling Tower &amp; Corrugated Fill'!$C$12))+0.62198*(0.61094*EXP(17.625*(((C325+0.4*'Cooling Tower &amp; Corrugated Fill'!$C$12))-32)/1.8/((((C325+0.4*'Cooling Tower &amp; Corrugated Fill'!$C$12))-32)/1.8+243.04)))/('Cooling Tower &amp; Corrugated Fill'!$C$14-(0.61094*EXP(17.625*(((C325+0.4*'Cooling Tower &amp; Corrugated Fill'!$C$12))-32)/1.8/((((C325+0.4*'Cooling Tower &amp; Corrugated Fill'!$C$12))-32)/1.8+243.04))))*(1061+0.444*((C325+0.4*'Cooling Tower &amp; Corrugated Fill'!$C$12))))-('Merkel Solver'!$C$4+'Cooling Tower &amp; Corrugated Fill'!$C$13*0.4*'Cooling Tower &amp; Corrugated Fill'!$C$12)</f>
        <v/>
      </c>
      <c r="F325" s="14">
        <f>(0.24*((C325+0.6*'Cooling Tower &amp; Corrugated Fill'!$C$12))+0.62198*(0.61094*EXP(17.625*(((C325+0.6*'Cooling Tower &amp; Corrugated Fill'!$C$12))-32)/1.8/((((C325+0.6*'Cooling Tower &amp; Corrugated Fill'!$C$12))-32)/1.8+243.04)))/('Cooling Tower &amp; Corrugated Fill'!$C$14-(0.61094*EXP(17.625*(((C325+0.6*'Cooling Tower &amp; Corrugated Fill'!$C$12))-32)/1.8/((((C325+0.6*'Cooling Tower &amp; Corrugated Fill'!$C$12))-32)/1.8+243.04))))*(1061+0.444*((C325+0.6*'Cooling Tower &amp; Corrugated Fill'!$C$12))))-('Merkel Solver'!$C$4+'Cooling Tower &amp; Corrugated Fill'!$C$13*0.6*'Cooling Tower &amp; Corrugated Fill'!$C$12)</f>
        <v/>
      </c>
      <c r="G325" s="14">
        <f>(0.24*((C325+0.9*'Cooling Tower &amp; Corrugated Fill'!$C$12))+0.62198*(0.61094*EXP(17.625*(((C325+0.9*'Cooling Tower &amp; Corrugated Fill'!$C$12))-32)/1.8/((((C325+0.9*'Cooling Tower &amp; Corrugated Fill'!$C$12))-32)/1.8+243.04)))/('Cooling Tower &amp; Corrugated Fill'!$C$14-(0.61094*EXP(17.625*(((C325+0.9*'Cooling Tower &amp; Corrugated Fill'!$C$12))-32)/1.8/((((C325+0.9*'Cooling Tower &amp; Corrugated Fill'!$C$12))-32)/1.8+243.04))))*(1061+0.444*((C325+0.9*'Cooling Tower &amp; Corrugated Fill'!$C$12))))-('Merkel Solver'!$C$4+'Cooling Tower &amp; Corrugated Fill'!$C$13*0.9*'Cooling Tower &amp; Corrugated Fill'!$C$12)</f>
        <v/>
      </c>
      <c r="H325" s="22">
        <f>IF(MIN(D325:G325)&lt;=0,99999,'Cooling Tower &amp; Corrugated Fill'!$C$12/4*(1/D325+1/E325+1/F325+1/G325))</f>
        <v/>
      </c>
    </row>
    <row r="326">
      <c r="B326" s="30" t="n">
        <v>32</v>
      </c>
      <c r="C326" s="12">
        <f>'Dashboard'!$C$9+B326</f>
        <v/>
      </c>
      <c r="D326" s="14">
        <f>(0.24*((C326+0.1*'Cooling Tower &amp; Corrugated Fill'!$C$12))+0.62198*(0.61094*EXP(17.625*(((C326+0.1*'Cooling Tower &amp; Corrugated Fill'!$C$12))-32)/1.8/((((C326+0.1*'Cooling Tower &amp; Corrugated Fill'!$C$12))-32)/1.8+243.04)))/('Cooling Tower &amp; Corrugated Fill'!$C$14-(0.61094*EXP(17.625*(((C326+0.1*'Cooling Tower &amp; Corrugated Fill'!$C$12))-32)/1.8/((((C326+0.1*'Cooling Tower &amp; Corrugated Fill'!$C$12))-32)/1.8+243.04))))*(1061+0.444*((C326+0.1*'Cooling Tower &amp; Corrugated Fill'!$C$12))))-('Merkel Solver'!$C$4+'Cooling Tower &amp; Corrugated Fill'!$C$13*0.1*'Cooling Tower &amp; Corrugated Fill'!$C$12)</f>
        <v/>
      </c>
      <c r="E326" s="14">
        <f>(0.24*((C326+0.4*'Cooling Tower &amp; Corrugated Fill'!$C$12))+0.62198*(0.61094*EXP(17.625*(((C326+0.4*'Cooling Tower &amp; Corrugated Fill'!$C$12))-32)/1.8/((((C326+0.4*'Cooling Tower &amp; Corrugated Fill'!$C$12))-32)/1.8+243.04)))/('Cooling Tower &amp; Corrugated Fill'!$C$14-(0.61094*EXP(17.625*(((C326+0.4*'Cooling Tower &amp; Corrugated Fill'!$C$12))-32)/1.8/((((C326+0.4*'Cooling Tower &amp; Corrugated Fill'!$C$12))-32)/1.8+243.04))))*(1061+0.444*((C326+0.4*'Cooling Tower &amp; Corrugated Fill'!$C$12))))-('Merkel Solver'!$C$4+'Cooling Tower &amp; Corrugated Fill'!$C$13*0.4*'Cooling Tower &amp; Corrugated Fill'!$C$12)</f>
        <v/>
      </c>
      <c r="F326" s="14">
        <f>(0.24*((C326+0.6*'Cooling Tower &amp; Corrugated Fill'!$C$12))+0.62198*(0.61094*EXP(17.625*(((C326+0.6*'Cooling Tower &amp; Corrugated Fill'!$C$12))-32)/1.8/((((C326+0.6*'Cooling Tower &amp; Corrugated Fill'!$C$12))-32)/1.8+243.04)))/('Cooling Tower &amp; Corrugated Fill'!$C$14-(0.61094*EXP(17.625*(((C326+0.6*'Cooling Tower &amp; Corrugated Fill'!$C$12))-32)/1.8/((((C326+0.6*'Cooling Tower &amp; Corrugated Fill'!$C$12))-32)/1.8+243.04))))*(1061+0.444*((C326+0.6*'Cooling Tower &amp; Corrugated Fill'!$C$12))))-('Merkel Solver'!$C$4+'Cooling Tower &amp; Corrugated Fill'!$C$13*0.6*'Cooling Tower &amp; Corrugated Fill'!$C$12)</f>
        <v/>
      </c>
      <c r="G326" s="14">
        <f>(0.24*((C326+0.9*'Cooling Tower &amp; Corrugated Fill'!$C$12))+0.62198*(0.61094*EXP(17.625*(((C326+0.9*'Cooling Tower &amp; Corrugated Fill'!$C$12))-32)/1.8/((((C326+0.9*'Cooling Tower &amp; Corrugated Fill'!$C$12))-32)/1.8+243.04)))/('Cooling Tower &amp; Corrugated Fill'!$C$14-(0.61094*EXP(17.625*(((C326+0.9*'Cooling Tower &amp; Corrugated Fill'!$C$12))-32)/1.8/((((C326+0.9*'Cooling Tower &amp; Corrugated Fill'!$C$12))-32)/1.8+243.04))))*(1061+0.444*((C326+0.9*'Cooling Tower &amp; Corrugated Fill'!$C$12))))-('Merkel Solver'!$C$4+'Cooling Tower &amp; Corrugated Fill'!$C$13*0.9*'Cooling Tower &amp; Corrugated Fill'!$C$12)</f>
        <v/>
      </c>
      <c r="H326" s="22">
        <f>IF(MIN(D326:G326)&lt;=0,99999,'Cooling Tower &amp; Corrugated Fill'!$C$12/4*(1/D326+1/E326+1/F326+1/G326))</f>
        <v/>
      </c>
    </row>
    <row r="327">
      <c r="B327" s="30" t="n">
        <v>32.1</v>
      </c>
      <c r="C327" s="12">
        <f>'Dashboard'!$C$9+B327</f>
        <v/>
      </c>
      <c r="D327" s="14">
        <f>(0.24*((C327+0.1*'Cooling Tower &amp; Corrugated Fill'!$C$12))+0.62198*(0.61094*EXP(17.625*(((C327+0.1*'Cooling Tower &amp; Corrugated Fill'!$C$12))-32)/1.8/((((C327+0.1*'Cooling Tower &amp; Corrugated Fill'!$C$12))-32)/1.8+243.04)))/('Cooling Tower &amp; Corrugated Fill'!$C$14-(0.61094*EXP(17.625*(((C327+0.1*'Cooling Tower &amp; Corrugated Fill'!$C$12))-32)/1.8/((((C327+0.1*'Cooling Tower &amp; Corrugated Fill'!$C$12))-32)/1.8+243.04))))*(1061+0.444*((C327+0.1*'Cooling Tower &amp; Corrugated Fill'!$C$12))))-('Merkel Solver'!$C$4+'Cooling Tower &amp; Corrugated Fill'!$C$13*0.1*'Cooling Tower &amp; Corrugated Fill'!$C$12)</f>
        <v/>
      </c>
      <c r="E327" s="14">
        <f>(0.24*((C327+0.4*'Cooling Tower &amp; Corrugated Fill'!$C$12))+0.62198*(0.61094*EXP(17.625*(((C327+0.4*'Cooling Tower &amp; Corrugated Fill'!$C$12))-32)/1.8/((((C327+0.4*'Cooling Tower &amp; Corrugated Fill'!$C$12))-32)/1.8+243.04)))/('Cooling Tower &amp; Corrugated Fill'!$C$14-(0.61094*EXP(17.625*(((C327+0.4*'Cooling Tower &amp; Corrugated Fill'!$C$12))-32)/1.8/((((C327+0.4*'Cooling Tower &amp; Corrugated Fill'!$C$12))-32)/1.8+243.04))))*(1061+0.444*((C327+0.4*'Cooling Tower &amp; Corrugated Fill'!$C$12))))-('Merkel Solver'!$C$4+'Cooling Tower &amp; Corrugated Fill'!$C$13*0.4*'Cooling Tower &amp; Corrugated Fill'!$C$12)</f>
        <v/>
      </c>
      <c r="F327" s="14">
        <f>(0.24*((C327+0.6*'Cooling Tower &amp; Corrugated Fill'!$C$12))+0.62198*(0.61094*EXP(17.625*(((C327+0.6*'Cooling Tower &amp; Corrugated Fill'!$C$12))-32)/1.8/((((C327+0.6*'Cooling Tower &amp; Corrugated Fill'!$C$12))-32)/1.8+243.04)))/('Cooling Tower &amp; Corrugated Fill'!$C$14-(0.61094*EXP(17.625*(((C327+0.6*'Cooling Tower &amp; Corrugated Fill'!$C$12))-32)/1.8/((((C327+0.6*'Cooling Tower &amp; Corrugated Fill'!$C$12))-32)/1.8+243.04))))*(1061+0.444*((C327+0.6*'Cooling Tower &amp; Corrugated Fill'!$C$12))))-('Merkel Solver'!$C$4+'Cooling Tower &amp; Corrugated Fill'!$C$13*0.6*'Cooling Tower &amp; Corrugated Fill'!$C$12)</f>
        <v/>
      </c>
      <c r="G327" s="14">
        <f>(0.24*((C327+0.9*'Cooling Tower &amp; Corrugated Fill'!$C$12))+0.62198*(0.61094*EXP(17.625*(((C327+0.9*'Cooling Tower &amp; Corrugated Fill'!$C$12))-32)/1.8/((((C327+0.9*'Cooling Tower &amp; Corrugated Fill'!$C$12))-32)/1.8+243.04)))/('Cooling Tower &amp; Corrugated Fill'!$C$14-(0.61094*EXP(17.625*(((C327+0.9*'Cooling Tower &amp; Corrugated Fill'!$C$12))-32)/1.8/((((C327+0.9*'Cooling Tower &amp; Corrugated Fill'!$C$12))-32)/1.8+243.04))))*(1061+0.444*((C327+0.9*'Cooling Tower &amp; Corrugated Fill'!$C$12))))-('Merkel Solver'!$C$4+'Cooling Tower &amp; Corrugated Fill'!$C$13*0.9*'Cooling Tower &amp; Corrugated Fill'!$C$12)</f>
        <v/>
      </c>
      <c r="H327" s="22">
        <f>IF(MIN(D327:G327)&lt;=0,99999,'Cooling Tower &amp; Corrugated Fill'!$C$12/4*(1/D327+1/E327+1/F327+1/G327))</f>
        <v/>
      </c>
    </row>
    <row r="328">
      <c r="B328" s="30" t="n">
        <v>32.2</v>
      </c>
      <c r="C328" s="12">
        <f>'Dashboard'!$C$9+B328</f>
        <v/>
      </c>
      <c r="D328" s="14">
        <f>(0.24*((C328+0.1*'Cooling Tower &amp; Corrugated Fill'!$C$12))+0.62198*(0.61094*EXP(17.625*(((C328+0.1*'Cooling Tower &amp; Corrugated Fill'!$C$12))-32)/1.8/((((C328+0.1*'Cooling Tower &amp; Corrugated Fill'!$C$12))-32)/1.8+243.04)))/('Cooling Tower &amp; Corrugated Fill'!$C$14-(0.61094*EXP(17.625*(((C328+0.1*'Cooling Tower &amp; Corrugated Fill'!$C$12))-32)/1.8/((((C328+0.1*'Cooling Tower &amp; Corrugated Fill'!$C$12))-32)/1.8+243.04))))*(1061+0.444*((C328+0.1*'Cooling Tower &amp; Corrugated Fill'!$C$12))))-('Merkel Solver'!$C$4+'Cooling Tower &amp; Corrugated Fill'!$C$13*0.1*'Cooling Tower &amp; Corrugated Fill'!$C$12)</f>
        <v/>
      </c>
      <c r="E328" s="14">
        <f>(0.24*((C328+0.4*'Cooling Tower &amp; Corrugated Fill'!$C$12))+0.62198*(0.61094*EXP(17.625*(((C328+0.4*'Cooling Tower &amp; Corrugated Fill'!$C$12))-32)/1.8/((((C328+0.4*'Cooling Tower &amp; Corrugated Fill'!$C$12))-32)/1.8+243.04)))/('Cooling Tower &amp; Corrugated Fill'!$C$14-(0.61094*EXP(17.625*(((C328+0.4*'Cooling Tower &amp; Corrugated Fill'!$C$12))-32)/1.8/((((C328+0.4*'Cooling Tower &amp; Corrugated Fill'!$C$12))-32)/1.8+243.04))))*(1061+0.444*((C328+0.4*'Cooling Tower &amp; Corrugated Fill'!$C$12))))-('Merkel Solver'!$C$4+'Cooling Tower &amp; Corrugated Fill'!$C$13*0.4*'Cooling Tower &amp; Corrugated Fill'!$C$12)</f>
        <v/>
      </c>
      <c r="F328" s="14">
        <f>(0.24*((C328+0.6*'Cooling Tower &amp; Corrugated Fill'!$C$12))+0.62198*(0.61094*EXP(17.625*(((C328+0.6*'Cooling Tower &amp; Corrugated Fill'!$C$12))-32)/1.8/((((C328+0.6*'Cooling Tower &amp; Corrugated Fill'!$C$12))-32)/1.8+243.04)))/('Cooling Tower &amp; Corrugated Fill'!$C$14-(0.61094*EXP(17.625*(((C328+0.6*'Cooling Tower &amp; Corrugated Fill'!$C$12))-32)/1.8/((((C328+0.6*'Cooling Tower &amp; Corrugated Fill'!$C$12))-32)/1.8+243.04))))*(1061+0.444*((C328+0.6*'Cooling Tower &amp; Corrugated Fill'!$C$12))))-('Merkel Solver'!$C$4+'Cooling Tower &amp; Corrugated Fill'!$C$13*0.6*'Cooling Tower &amp; Corrugated Fill'!$C$12)</f>
        <v/>
      </c>
      <c r="G328" s="14">
        <f>(0.24*((C328+0.9*'Cooling Tower &amp; Corrugated Fill'!$C$12))+0.62198*(0.61094*EXP(17.625*(((C328+0.9*'Cooling Tower &amp; Corrugated Fill'!$C$12))-32)/1.8/((((C328+0.9*'Cooling Tower &amp; Corrugated Fill'!$C$12))-32)/1.8+243.04)))/('Cooling Tower &amp; Corrugated Fill'!$C$14-(0.61094*EXP(17.625*(((C328+0.9*'Cooling Tower &amp; Corrugated Fill'!$C$12))-32)/1.8/((((C328+0.9*'Cooling Tower &amp; Corrugated Fill'!$C$12))-32)/1.8+243.04))))*(1061+0.444*((C328+0.9*'Cooling Tower &amp; Corrugated Fill'!$C$12))))-('Merkel Solver'!$C$4+'Cooling Tower &amp; Corrugated Fill'!$C$13*0.9*'Cooling Tower &amp; Corrugated Fill'!$C$12)</f>
        <v/>
      </c>
      <c r="H328" s="22">
        <f>IF(MIN(D328:G328)&lt;=0,99999,'Cooling Tower &amp; Corrugated Fill'!$C$12/4*(1/D328+1/E328+1/F328+1/G328))</f>
        <v/>
      </c>
    </row>
    <row r="329">
      <c r="B329" s="30" t="n">
        <v>32.3</v>
      </c>
      <c r="C329" s="12">
        <f>'Dashboard'!$C$9+B329</f>
        <v/>
      </c>
      <c r="D329" s="14">
        <f>(0.24*((C329+0.1*'Cooling Tower &amp; Corrugated Fill'!$C$12))+0.62198*(0.61094*EXP(17.625*(((C329+0.1*'Cooling Tower &amp; Corrugated Fill'!$C$12))-32)/1.8/((((C329+0.1*'Cooling Tower &amp; Corrugated Fill'!$C$12))-32)/1.8+243.04)))/('Cooling Tower &amp; Corrugated Fill'!$C$14-(0.61094*EXP(17.625*(((C329+0.1*'Cooling Tower &amp; Corrugated Fill'!$C$12))-32)/1.8/((((C329+0.1*'Cooling Tower &amp; Corrugated Fill'!$C$12))-32)/1.8+243.04))))*(1061+0.444*((C329+0.1*'Cooling Tower &amp; Corrugated Fill'!$C$12))))-('Merkel Solver'!$C$4+'Cooling Tower &amp; Corrugated Fill'!$C$13*0.1*'Cooling Tower &amp; Corrugated Fill'!$C$12)</f>
        <v/>
      </c>
      <c r="E329" s="14">
        <f>(0.24*((C329+0.4*'Cooling Tower &amp; Corrugated Fill'!$C$12))+0.62198*(0.61094*EXP(17.625*(((C329+0.4*'Cooling Tower &amp; Corrugated Fill'!$C$12))-32)/1.8/((((C329+0.4*'Cooling Tower &amp; Corrugated Fill'!$C$12))-32)/1.8+243.04)))/('Cooling Tower &amp; Corrugated Fill'!$C$14-(0.61094*EXP(17.625*(((C329+0.4*'Cooling Tower &amp; Corrugated Fill'!$C$12))-32)/1.8/((((C329+0.4*'Cooling Tower &amp; Corrugated Fill'!$C$12))-32)/1.8+243.04))))*(1061+0.444*((C329+0.4*'Cooling Tower &amp; Corrugated Fill'!$C$12))))-('Merkel Solver'!$C$4+'Cooling Tower &amp; Corrugated Fill'!$C$13*0.4*'Cooling Tower &amp; Corrugated Fill'!$C$12)</f>
        <v/>
      </c>
      <c r="F329" s="14">
        <f>(0.24*((C329+0.6*'Cooling Tower &amp; Corrugated Fill'!$C$12))+0.62198*(0.61094*EXP(17.625*(((C329+0.6*'Cooling Tower &amp; Corrugated Fill'!$C$12))-32)/1.8/((((C329+0.6*'Cooling Tower &amp; Corrugated Fill'!$C$12))-32)/1.8+243.04)))/('Cooling Tower &amp; Corrugated Fill'!$C$14-(0.61094*EXP(17.625*(((C329+0.6*'Cooling Tower &amp; Corrugated Fill'!$C$12))-32)/1.8/((((C329+0.6*'Cooling Tower &amp; Corrugated Fill'!$C$12))-32)/1.8+243.04))))*(1061+0.444*((C329+0.6*'Cooling Tower &amp; Corrugated Fill'!$C$12))))-('Merkel Solver'!$C$4+'Cooling Tower &amp; Corrugated Fill'!$C$13*0.6*'Cooling Tower &amp; Corrugated Fill'!$C$12)</f>
        <v/>
      </c>
      <c r="G329" s="14">
        <f>(0.24*((C329+0.9*'Cooling Tower &amp; Corrugated Fill'!$C$12))+0.62198*(0.61094*EXP(17.625*(((C329+0.9*'Cooling Tower &amp; Corrugated Fill'!$C$12))-32)/1.8/((((C329+0.9*'Cooling Tower &amp; Corrugated Fill'!$C$12))-32)/1.8+243.04)))/('Cooling Tower &amp; Corrugated Fill'!$C$14-(0.61094*EXP(17.625*(((C329+0.9*'Cooling Tower &amp; Corrugated Fill'!$C$12))-32)/1.8/((((C329+0.9*'Cooling Tower &amp; Corrugated Fill'!$C$12))-32)/1.8+243.04))))*(1061+0.444*((C329+0.9*'Cooling Tower &amp; Corrugated Fill'!$C$12))))-('Merkel Solver'!$C$4+'Cooling Tower &amp; Corrugated Fill'!$C$13*0.9*'Cooling Tower &amp; Corrugated Fill'!$C$12)</f>
        <v/>
      </c>
      <c r="H329" s="22">
        <f>IF(MIN(D329:G329)&lt;=0,99999,'Cooling Tower &amp; Corrugated Fill'!$C$12/4*(1/D329+1/E329+1/F329+1/G329))</f>
        <v/>
      </c>
    </row>
    <row r="330">
      <c r="B330" s="30" t="n">
        <v>32.4</v>
      </c>
      <c r="C330" s="12">
        <f>'Dashboard'!$C$9+B330</f>
        <v/>
      </c>
      <c r="D330" s="14">
        <f>(0.24*((C330+0.1*'Cooling Tower &amp; Corrugated Fill'!$C$12))+0.62198*(0.61094*EXP(17.625*(((C330+0.1*'Cooling Tower &amp; Corrugated Fill'!$C$12))-32)/1.8/((((C330+0.1*'Cooling Tower &amp; Corrugated Fill'!$C$12))-32)/1.8+243.04)))/('Cooling Tower &amp; Corrugated Fill'!$C$14-(0.61094*EXP(17.625*(((C330+0.1*'Cooling Tower &amp; Corrugated Fill'!$C$12))-32)/1.8/((((C330+0.1*'Cooling Tower &amp; Corrugated Fill'!$C$12))-32)/1.8+243.04))))*(1061+0.444*((C330+0.1*'Cooling Tower &amp; Corrugated Fill'!$C$12))))-('Merkel Solver'!$C$4+'Cooling Tower &amp; Corrugated Fill'!$C$13*0.1*'Cooling Tower &amp; Corrugated Fill'!$C$12)</f>
        <v/>
      </c>
      <c r="E330" s="14">
        <f>(0.24*((C330+0.4*'Cooling Tower &amp; Corrugated Fill'!$C$12))+0.62198*(0.61094*EXP(17.625*(((C330+0.4*'Cooling Tower &amp; Corrugated Fill'!$C$12))-32)/1.8/((((C330+0.4*'Cooling Tower &amp; Corrugated Fill'!$C$12))-32)/1.8+243.04)))/('Cooling Tower &amp; Corrugated Fill'!$C$14-(0.61094*EXP(17.625*(((C330+0.4*'Cooling Tower &amp; Corrugated Fill'!$C$12))-32)/1.8/((((C330+0.4*'Cooling Tower &amp; Corrugated Fill'!$C$12))-32)/1.8+243.04))))*(1061+0.444*((C330+0.4*'Cooling Tower &amp; Corrugated Fill'!$C$12))))-('Merkel Solver'!$C$4+'Cooling Tower &amp; Corrugated Fill'!$C$13*0.4*'Cooling Tower &amp; Corrugated Fill'!$C$12)</f>
        <v/>
      </c>
      <c r="F330" s="14">
        <f>(0.24*((C330+0.6*'Cooling Tower &amp; Corrugated Fill'!$C$12))+0.62198*(0.61094*EXP(17.625*(((C330+0.6*'Cooling Tower &amp; Corrugated Fill'!$C$12))-32)/1.8/((((C330+0.6*'Cooling Tower &amp; Corrugated Fill'!$C$12))-32)/1.8+243.04)))/('Cooling Tower &amp; Corrugated Fill'!$C$14-(0.61094*EXP(17.625*(((C330+0.6*'Cooling Tower &amp; Corrugated Fill'!$C$12))-32)/1.8/((((C330+0.6*'Cooling Tower &amp; Corrugated Fill'!$C$12))-32)/1.8+243.04))))*(1061+0.444*((C330+0.6*'Cooling Tower &amp; Corrugated Fill'!$C$12))))-('Merkel Solver'!$C$4+'Cooling Tower &amp; Corrugated Fill'!$C$13*0.6*'Cooling Tower &amp; Corrugated Fill'!$C$12)</f>
        <v/>
      </c>
      <c r="G330" s="14">
        <f>(0.24*((C330+0.9*'Cooling Tower &amp; Corrugated Fill'!$C$12))+0.62198*(0.61094*EXP(17.625*(((C330+0.9*'Cooling Tower &amp; Corrugated Fill'!$C$12))-32)/1.8/((((C330+0.9*'Cooling Tower &amp; Corrugated Fill'!$C$12))-32)/1.8+243.04)))/('Cooling Tower &amp; Corrugated Fill'!$C$14-(0.61094*EXP(17.625*(((C330+0.9*'Cooling Tower &amp; Corrugated Fill'!$C$12))-32)/1.8/((((C330+0.9*'Cooling Tower &amp; Corrugated Fill'!$C$12))-32)/1.8+243.04))))*(1061+0.444*((C330+0.9*'Cooling Tower &amp; Corrugated Fill'!$C$12))))-('Merkel Solver'!$C$4+'Cooling Tower &amp; Corrugated Fill'!$C$13*0.9*'Cooling Tower &amp; Corrugated Fill'!$C$12)</f>
        <v/>
      </c>
      <c r="H330" s="22">
        <f>IF(MIN(D330:G330)&lt;=0,99999,'Cooling Tower &amp; Corrugated Fill'!$C$12/4*(1/D330+1/E330+1/F330+1/G330))</f>
        <v/>
      </c>
    </row>
    <row r="331">
      <c r="B331" s="30" t="n">
        <v>32.5</v>
      </c>
      <c r="C331" s="12">
        <f>'Dashboard'!$C$9+B331</f>
        <v/>
      </c>
      <c r="D331" s="14">
        <f>(0.24*((C331+0.1*'Cooling Tower &amp; Corrugated Fill'!$C$12))+0.62198*(0.61094*EXP(17.625*(((C331+0.1*'Cooling Tower &amp; Corrugated Fill'!$C$12))-32)/1.8/((((C331+0.1*'Cooling Tower &amp; Corrugated Fill'!$C$12))-32)/1.8+243.04)))/('Cooling Tower &amp; Corrugated Fill'!$C$14-(0.61094*EXP(17.625*(((C331+0.1*'Cooling Tower &amp; Corrugated Fill'!$C$12))-32)/1.8/((((C331+0.1*'Cooling Tower &amp; Corrugated Fill'!$C$12))-32)/1.8+243.04))))*(1061+0.444*((C331+0.1*'Cooling Tower &amp; Corrugated Fill'!$C$12))))-('Merkel Solver'!$C$4+'Cooling Tower &amp; Corrugated Fill'!$C$13*0.1*'Cooling Tower &amp; Corrugated Fill'!$C$12)</f>
        <v/>
      </c>
      <c r="E331" s="14">
        <f>(0.24*((C331+0.4*'Cooling Tower &amp; Corrugated Fill'!$C$12))+0.62198*(0.61094*EXP(17.625*(((C331+0.4*'Cooling Tower &amp; Corrugated Fill'!$C$12))-32)/1.8/((((C331+0.4*'Cooling Tower &amp; Corrugated Fill'!$C$12))-32)/1.8+243.04)))/('Cooling Tower &amp; Corrugated Fill'!$C$14-(0.61094*EXP(17.625*(((C331+0.4*'Cooling Tower &amp; Corrugated Fill'!$C$12))-32)/1.8/((((C331+0.4*'Cooling Tower &amp; Corrugated Fill'!$C$12))-32)/1.8+243.04))))*(1061+0.444*((C331+0.4*'Cooling Tower &amp; Corrugated Fill'!$C$12))))-('Merkel Solver'!$C$4+'Cooling Tower &amp; Corrugated Fill'!$C$13*0.4*'Cooling Tower &amp; Corrugated Fill'!$C$12)</f>
        <v/>
      </c>
      <c r="F331" s="14">
        <f>(0.24*((C331+0.6*'Cooling Tower &amp; Corrugated Fill'!$C$12))+0.62198*(0.61094*EXP(17.625*(((C331+0.6*'Cooling Tower &amp; Corrugated Fill'!$C$12))-32)/1.8/((((C331+0.6*'Cooling Tower &amp; Corrugated Fill'!$C$12))-32)/1.8+243.04)))/('Cooling Tower &amp; Corrugated Fill'!$C$14-(0.61094*EXP(17.625*(((C331+0.6*'Cooling Tower &amp; Corrugated Fill'!$C$12))-32)/1.8/((((C331+0.6*'Cooling Tower &amp; Corrugated Fill'!$C$12))-32)/1.8+243.04))))*(1061+0.444*((C331+0.6*'Cooling Tower &amp; Corrugated Fill'!$C$12))))-('Merkel Solver'!$C$4+'Cooling Tower &amp; Corrugated Fill'!$C$13*0.6*'Cooling Tower &amp; Corrugated Fill'!$C$12)</f>
        <v/>
      </c>
      <c r="G331" s="14">
        <f>(0.24*((C331+0.9*'Cooling Tower &amp; Corrugated Fill'!$C$12))+0.62198*(0.61094*EXP(17.625*(((C331+0.9*'Cooling Tower &amp; Corrugated Fill'!$C$12))-32)/1.8/((((C331+0.9*'Cooling Tower &amp; Corrugated Fill'!$C$12))-32)/1.8+243.04)))/('Cooling Tower &amp; Corrugated Fill'!$C$14-(0.61094*EXP(17.625*(((C331+0.9*'Cooling Tower &amp; Corrugated Fill'!$C$12))-32)/1.8/((((C331+0.9*'Cooling Tower &amp; Corrugated Fill'!$C$12))-32)/1.8+243.04))))*(1061+0.444*((C331+0.9*'Cooling Tower &amp; Corrugated Fill'!$C$12))))-('Merkel Solver'!$C$4+'Cooling Tower &amp; Corrugated Fill'!$C$13*0.9*'Cooling Tower &amp; Corrugated Fill'!$C$12)</f>
        <v/>
      </c>
      <c r="H331" s="22">
        <f>IF(MIN(D331:G331)&lt;=0,99999,'Cooling Tower &amp; Corrugated Fill'!$C$12/4*(1/D331+1/E331+1/F331+1/G331))</f>
        <v/>
      </c>
    </row>
    <row r="332">
      <c r="B332" s="30" t="n">
        <v>32.6</v>
      </c>
      <c r="C332" s="12">
        <f>'Dashboard'!$C$9+B332</f>
        <v/>
      </c>
      <c r="D332" s="14">
        <f>(0.24*((C332+0.1*'Cooling Tower &amp; Corrugated Fill'!$C$12))+0.62198*(0.61094*EXP(17.625*(((C332+0.1*'Cooling Tower &amp; Corrugated Fill'!$C$12))-32)/1.8/((((C332+0.1*'Cooling Tower &amp; Corrugated Fill'!$C$12))-32)/1.8+243.04)))/('Cooling Tower &amp; Corrugated Fill'!$C$14-(0.61094*EXP(17.625*(((C332+0.1*'Cooling Tower &amp; Corrugated Fill'!$C$12))-32)/1.8/((((C332+0.1*'Cooling Tower &amp; Corrugated Fill'!$C$12))-32)/1.8+243.04))))*(1061+0.444*((C332+0.1*'Cooling Tower &amp; Corrugated Fill'!$C$12))))-('Merkel Solver'!$C$4+'Cooling Tower &amp; Corrugated Fill'!$C$13*0.1*'Cooling Tower &amp; Corrugated Fill'!$C$12)</f>
        <v/>
      </c>
      <c r="E332" s="14">
        <f>(0.24*((C332+0.4*'Cooling Tower &amp; Corrugated Fill'!$C$12))+0.62198*(0.61094*EXP(17.625*(((C332+0.4*'Cooling Tower &amp; Corrugated Fill'!$C$12))-32)/1.8/((((C332+0.4*'Cooling Tower &amp; Corrugated Fill'!$C$12))-32)/1.8+243.04)))/('Cooling Tower &amp; Corrugated Fill'!$C$14-(0.61094*EXP(17.625*(((C332+0.4*'Cooling Tower &amp; Corrugated Fill'!$C$12))-32)/1.8/((((C332+0.4*'Cooling Tower &amp; Corrugated Fill'!$C$12))-32)/1.8+243.04))))*(1061+0.444*((C332+0.4*'Cooling Tower &amp; Corrugated Fill'!$C$12))))-('Merkel Solver'!$C$4+'Cooling Tower &amp; Corrugated Fill'!$C$13*0.4*'Cooling Tower &amp; Corrugated Fill'!$C$12)</f>
        <v/>
      </c>
      <c r="F332" s="14">
        <f>(0.24*((C332+0.6*'Cooling Tower &amp; Corrugated Fill'!$C$12))+0.62198*(0.61094*EXP(17.625*(((C332+0.6*'Cooling Tower &amp; Corrugated Fill'!$C$12))-32)/1.8/((((C332+0.6*'Cooling Tower &amp; Corrugated Fill'!$C$12))-32)/1.8+243.04)))/('Cooling Tower &amp; Corrugated Fill'!$C$14-(0.61094*EXP(17.625*(((C332+0.6*'Cooling Tower &amp; Corrugated Fill'!$C$12))-32)/1.8/((((C332+0.6*'Cooling Tower &amp; Corrugated Fill'!$C$12))-32)/1.8+243.04))))*(1061+0.444*((C332+0.6*'Cooling Tower &amp; Corrugated Fill'!$C$12))))-('Merkel Solver'!$C$4+'Cooling Tower &amp; Corrugated Fill'!$C$13*0.6*'Cooling Tower &amp; Corrugated Fill'!$C$12)</f>
        <v/>
      </c>
      <c r="G332" s="14">
        <f>(0.24*((C332+0.9*'Cooling Tower &amp; Corrugated Fill'!$C$12))+0.62198*(0.61094*EXP(17.625*(((C332+0.9*'Cooling Tower &amp; Corrugated Fill'!$C$12))-32)/1.8/((((C332+0.9*'Cooling Tower &amp; Corrugated Fill'!$C$12))-32)/1.8+243.04)))/('Cooling Tower &amp; Corrugated Fill'!$C$14-(0.61094*EXP(17.625*(((C332+0.9*'Cooling Tower &amp; Corrugated Fill'!$C$12))-32)/1.8/((((C332+0.9*'Cooling Tower &amp; Corrugated Fill'!$C$12))-32)/1.8+243.04))))*(1061+0.444*((C332+0.9*'Cooling Tower &amp; Corrugated Fill'!$C$12))))-('Merkel Solver'!$C$4+'Cooling Tower &amp; Corrugated Fill'!$C$13*0.9*'Cooling Tower &amp; Corrugated Fill'!$C$12)</f>
        <v/>
      </c>
      <c r="H332" s="22">
        <f>IF(MIN(D332:G332)&lt;=0,99999,'Cooling Tower &amp; Corrugated Fill'!$C$12/4*(1/D332+1/E332+1/F332+1/G332))</f>
        <v/>
      </c>
    </row>
    <row r="333">
      <c r="B333" s="30" t="n">
        <v>32.7</v>
      </c>
      <c r="C333" s="12">
        <f>'Dashboard'!$C$9+B333</f>
        <v/>
      </c>
      <c r="D333" s="14">
        <f>(0.24*((C333+0.1*'Cooling Tower &amp; Corrugated Fill'!$C$12))+0.62198*(0.61094*EXP(17.625*(((C333+0.1*'Cooling Tower &amp; Corrugated Fill'!$C$12))-32)/1.8/((((C333+0.1*'Cooling Tower &amp; Corrugated Fill'!$C$12))-32)/1.8+243.04)))/('Cooling Tower &amp; Corrugated Fill'!$C$14-(0.61094*EXP(17.625*(((C333+0.1*'Cooling Tower &amp; Corrugated Fill'!$C$12))-32)/1.8/((((C333+0.1*'Cooling Tower &amp; Corrugated Fill'!$C$12))-32)/1.8+243.04))))*(1061+0.444*((C333+0.1*'Cooling Tower &amp; Corrugated Fill'!$C$12))))-('Merkel Solver'!$C$4+'Cooling Tower &amp; Corrugated Fill'!$C$13*0.1*'Cooling Tower &amp; Corrugated Fill'!$C$12)</f>
        <v/>
      </c>
      <c r="E333" s="14">
        <f>(0.24*((C333+0.4*'Cooling Tower &amp; Corrugated Fill'!$C$12))+0.62198*(0.61094*EXP(17.625*(((C333+0.4*'Cooling Tower &amp; Corrugated Fill'!$C$12))-32)/1.8/((((C333+0.4*'Cooling Tower &amp; Corrugated Fill'!$C$12))-32)/1.8+243.04)))/('Cooling Tower &amp; Corrugated Fill'!$C$14-(0.61094*EXP(17.625*(((C333+0.4*'Cooling Tower &amp; Corrugated Fill'!$C$12))-32)/1.8/((((C333+0.4*'Cooling Tower &amp; Corrugated Fill'!$C$12))-32)/1.8+243.04))))*(1061+0.444*((C333+0.4*'Cooling Tower &amp; Corrugated Fill'!$C$12))))-('Merkel Solver'!$C$4+'Cooling Tower &amp; Corrugated Fill'!$C$13*0.4*'Cooling Tower &amp; Corrugated Fill'!$C$12)</f>
        <v/>
      </c>
      <c r="F333" s="14">
        <f>(0.24*((C333+0.6*'Cooling Tower &amp; Corrugated Fill'!$C$12))+0.62198*(0.61094*EXP(17.625*(((C333+0.6*'Cooling Tower &amp; Corrugated Fill'!$C$12))-32)/1.8/((((C333+0.6*'Cooling Tower &amp; Corrugated Fill'!$C$12))-32)/1.8+243.04)))/('Cooling Tower &amp; Corrugated Fill'!$C$14-(0.61094*EXP(17.625*(((C333+0.6*'Cooling Tower &amp; Corrugated Fill'!$C$12))-32)/1.8/((((C333+0.6*'Cooling Tower &amp; Corrugated Fill'!$C$12))-32)/1.8+243.04))))*(1061+0.444*((C333+0.6*'Cooling Tower &amp; Corrugated Fill'!$C$12))))-('Merkel Solver'!$C$4+'Cooling Tower &amp; Corrugated Fill'!$C$13*0.6*'Cooling Tower &amp; Corrugated Fill'!$C$12)</f>
        <v/>
      </c>
      <c r="G333" s="14">
        <f>(0.24*((C333+0.9*'Cooling Tower &amp; Corrugated Fill'!$C$12))+0.62198*(0.61094*EXP(17.625*(((C333+0.9*'Cooling Tower &amp; Corrugated Fill'!$C$12))-32)/1.8/((((C333+0.9*'Cooling Tower &amp; Corrugated Fill'!$C$12))-32)/1.8+243.04)))/('Cooling Tower &amp; Corrugated Fill'!$C$14-(0.61094*EXP(17.625*(((C333+0.9*'Cooling Tower &amp; Corrugated Fill'!$C$12))-32)/1.8/((((C333+0.9*'Cooling Tower &amp; Corrugated Fill'!$C$12))-32)/1.8+243.04))))*(1061+0.444*((C333+0.9*'Cooling Tower &amp; Corrugated Fill'!$C$12))))-('Merkel Solver'!$C$4+'Cooling Tower &amp; Corrugated Fill'!$C$13*0.9*'Cooling Tower &amp; Corrugated Fill'!$C$12)</f>
        <v/>
      </c>
      <c r="H333" s="22">
        <f>IF(MIN(D333:G333)&lt;=0,99999,'Cooling Tower &amp; Corrugated Fill'!$C$12/4*(1/D333+1/E333+1/F333+1/G333))</f>
        <v/>
      </c>
    </row>
    <row r="334">
      <c r="B334" s="30" t="n">
        <v>32.8</v>
      </c>
      <c r="C334" s="12">
        <f>'Dashboard'!$C$9+B334</f>
        <v/>
      </c>
      <c r="D334" s="14">
        <f>(0.24*((C334+0.1*'Cooling Tower &amp; Corrugated Fill'!$C$12))+0.62198*(0.61094*EXP(17.625*(((C334+0.1*'Cooling Tower &amp; Corrugated Fill'!$C$12))-32)/1.8/((((C334+0.1*'Cooling Tower &amp; Corrugated Fill'!$C$12))-32)/1.8+243.04)))/('Cooling Tower &amp; Corrugated Fill'!$C$14-(0.61094*EXP(17.625*(((C334+0.1*'Cooling Tower &amp; Corrugated Fill'!$C$12))-32)/1.8/((((C334+0.1*'Cooling Tower &amp; Corrugated Fill'!$C$12))-32)/1.8+243.04))))*(1061+0.444*((C334+0.1*'Cooling Tower &amp; Corrugated Fill'!$C$12))))-('Merkel Solver'!$C$4+'Cooling Tower &amp; Corrugated Fill'!$C$13*0.1*'Cooling Tower &amp; Corrugated Fill'!$C$12)</f>
        <v/>
      </c>
      <c r="E334" s="14">
        <f>(0.24*((C334+0.4*'Cooling Tower &amp; Corrugated Fill'!$C$12))+0.62198*(0.61094*EXP(17.625*(((C334+0.4*'Cooling Tower &amp; Corrugated Fill'!$C$12))-32)/1.8/((((C334+0.4*'Cooling Tower &amp; Corrugated Fill'!$C$12))-32)/1.8+243.04)))/('Cooling Tower &amp; Corrugated Fill'!$C$14-(0.61094*EXP(17.625*(((C334+0.4*'Cooling Tower &amp; Corrugated Fill'!$C$12))-32)/1.8/((((C334+0.4*'Cooling Tower &amp; Corrugated Fill'!$C$12))-32)/1.8+243.04))))*(1061+0.444*((C334+0.4*'Cooling Tower &amp; Corrugated Fill'!$C$12))))-('Merkel Solver'!$C$4+'Cooling Tower &amp; Corrugated Fill'!$C$13*0.4*'Cooling Tower &amp; Corrugated Fill'!$C$12)</f>
        <v/>
      </c>
      <c r="F334" s="14">
        <f>(0.24*((C334+0.6*'Cooling Tower &amp; Corrugated Fill'!$C$12))+0.62198*(0.61094*EXP(17.625*(((C334+0.6*'Cooling Tower &amp; Corrugated Fill'!$C$12))-32)/1.8/((((C334+0.6*'Cooling Tower &amp; Corrugated Fill'!$C$12))-32)/1.8+243.04)))/('Cooling Tower &amp; Corrugated Fill'!$C$14-(0.61094*EXP(17.625*(((C334+0.6*'Cooling Tower &amp; Corrugated Fill'!$C$12))-32)/1.8/((((C334+0.6*'Cooling Tower &amp; Corrugated Fill'!$C$12))-32)/1.8+243.04))))*(1061+0.444*((C334+0.6*'Cooling Tower &amp; Corrugated Fill'!$C$12))))-('Merkel Solver'!$C$4+'Cooling Tower &amp; Corrugated Fill'!$C$13*0.6*'Cooling Tower &amp; Corrugated Fill'!$C$12)</f>
        <v/>
      </c>
      <c r="G334" s="14">
        <f>(0.24*((C334+0.9*'Cooling Tower &amp; Corrugated Fill'!$C$12))+0.62198*(0.61094*EXP(17.625*(((C334+0.9*'Cooling Tower &amp; Corrugated Fill'!$C$12))-32)/1.8/((((C334+0.9*'Cooling Tower &amp; Corrugated Fill'!$C$12))-32)/1.8+243.04)))/('Cooling Tower &amp; Corrugated Fill'!$C$14-(0.61094*EXP(17.625*(((C334+0.9*'Cooling Tower &amp; Corrugated Fill'!$C$12))-32)/1.8/((((C334+0.9*'Cooling Tower &amp; Corrugated Fill'!$C$12))-32)/1.8+243.04))))*(1061+0.444*((C334+0.9*'Cooling Tower &amp; Corrugated Fill'!$C$12))))-('Merkel Solver'!$C$4+'Cooling Tower &amp; Corrugated Fill'!$C$13*0.9*'Cooling Tower &amp; Corrugated Fill'!$C$12)</f>
        <v/>
      </c>
      <c r="H334" s="22">
        <f>IF(MIN(D334:G334)&lt;=0,99999,'Cooling Tower &amp; Corrugated Fill'!$C$12/4*(1/D334+1/E334+1/F334+1/G334))</f>
        <v/>
      </c>
    </row>
    <row r="335">
      <c r="B335" s="30" t="n">
        <v>32.9</v>
      </c>
      <c r="C335" s="12">
        <f>'Dashboard'!$C$9+B335</f>
        <v/>
      </c>
      <c r="D335" s="14">
        <f>(0.24*((C335+0.1*'Cooling Tower &amp; Corrugated Fill'!$C$12))+0.62198*(0.61094*EXP(17.625*(((C335+0.1*'Cooling Tower &amp; Corrugated Fill'!$C$12))-32)/1.8/((((C335+0.1*'Cooling Tower &amp; Corrugated Fill'!$C$12))-32)/1.8+243.04)))/('Cooling Tower &amp; Corrugated Fill'!$C$14-(0.61094*EXP(17.625*(((C335+0.1*'Cooling Tower &amp; Corrugated Fill'!$C$12))-32)/1.8/((((C335+0.1*'Cooling Tower &amp; Corrugated Fill'!$C$12))-32)/1.8+243.04))))*(1061+0.444*((C335+0.1*'Cooling Tower &amp; Corrugated Fill'!$C$12))))-('Merkel Solver'!$C$4+'Cooling Tower &amp; Corrugated Fill'!$C$13*0.1*'Cooling Tower &amp; Corrugated Fill'!$C$12)</f>
        <v/>
      </c>
      <c r="E335" s="14">
        <f>(0.24*((C335+0.4*'Cooling Tower &amp; Corrugated Fill'!$C$12))+0.62198*(0.61094*EXP(17.625*(((C335+0.4*'Cooling Tower &amp; Corrugated Fill'!$C$12))-32)/1.8/((((C335+0.4*'Cooling Tower &amp; Corrugated Fill'!$C$12))-32)/1.8+243.04)))/('Cooling Tower &amp; Corrugated Fill'!$C$14-(0.61094*EXP(17.625*(((C335+0.4*'Cooling Tower &amp; Corrugated Fill'!$C$12))-32)/1.8/((((C335+0.4*'Cooling Tower &amp; Corrugated Fill'!$C$12))-32)/1.8+243.04))))*(1061+0.444*((C335+0.4*'Cooling Tower &amp; Corrugated Fill'!$C$12))))-('Merkel Solver'!$C$4+'Cooling Tower &amp; Corrugated Fill'!$C$13*0.4*'Cooling Tower &amp; Corrugated Fill'!$C$12)</f>
        <v/>
      </c>
      <c r="F335" s="14">
        <f>(0.24*((C335+0.6*'Cooling Tower &amp; Corrugated Fill'!$C$12))+0.62198*(0.61094*EXP(17.625*(((C335+0.6*'Cooling Tower &amp; Corrugated Fill'!$C$12))-32)/1.8/((((C335+0.6*'Cooling Tower &amp; Corrugated Fill'!$C$12))-32)/1.8+243.04)))/('Cooling Tower &amp; Corrugated Fill'!$C$14-(0.61094*EXP(17.625*(((C335+0.6*'Cooling Tower &amp; Corrugated Fill'!$C$12))-32)/1.8/((((C335+0.6*'Cooling Tower &amp; Corrugated Fill'!$C$12))-32)/1.8+243.04))))*(1061+0.444*((C335+0.6*'Cooling Tower &amp; Corrugated Fill'!$C$12))))-('Merkel Solver'!$C$4+'Cooling Tower &amp; Corrugated Fill'!$C$13*0.6*'Cooling Tower &amp; Corrugated Fill'!$C$12)</f>
        <v/>
      </c>
      <c r="G335" s="14">
        <f>(0.24*((C335+0.9*'Cooling Tower &amp; Corrugated Fill'!$C$12))+0.62198*(0.61094*EXP(17.625*(((C335+0.9*'Cooling Tower &amp; Corrugated Fill'!$C$12))-32)/1.8/((((C335+0.9*'Cooling Tower &amp; Corrugated Fill'!$C$12))-32)/1.8+243.04)))/('Cooling Tower &amp; Corrugated Fill'!$C$14-(0.61094*EXP(17.625*(((C335+0.9*'Cooling Tower &amp; Corrugated Fill'!$C$12))-32)/1.8/((((C335+0.9*'Cooling Tower &amp; Corrugated Fill'!$C$12))-32)/1.8+243.04))))*(1061+0.444*((C335+0.9*'Cooling Tower &amp; Corrugated Fill'!$C$12))))-('Merkel Solver'!$C$4+'Cooling Tower &amp; Corrugated Fill'!$C$13*0.9*'Cooling Tower &amp; Corrugated Fill'!$C$12)</f>
        <v/>
      </c>
      <c r="H335" s="22">
        <f>IF(MIN(D335:G335)&lt;=0,99999,'Cooling Tower &amp; Corrugated Fill'!$C$12/4*(1/D335+1/E335+1/F335+1/G335))</f>
        <v/>
      </c>
    </row>
    <row r="336">
      <c r="B336" s="30" t="n">
        <v>33</v>
      </c>
      <c r="C336" s="12">
        <f>'Dashboard'!$C$9+B336</f>
        <v/>
      </c>
      <c r="D336" s="14">
        <f>(0.24*((C336+0.1*'Cooling Tower &amp; Corrugated Fill'!$C$12))+0.62198*(0.61094*EXP(17.625*(((C336+0.1*'Cooling Tower &amp; Corrugated Fill'!$C$12))-32)/1.8/((((C336+0.1*'Cooling Tower &amp; Corrugated Fill'!$C$12))-32)/1.8+243.04)))/('Cooling Tower &amp; Corrugated Fill'!$C$14-(0.61094*EXP(17.625*(((C336+0.1*'Cooling Tower &amp; Corrugated Fill'!$C$12))-32)/1.8/((((C336+0.1*'Cooling Tower &amp; Corrugated Fill'!$C$12))-32)/1.8+243.04))))*(1061+0.444*((C336+0.1*'Cooling Tower &amp; Corrugated Fill'!$C$12))))-('Merkel Solver'!$C$4+'Cooling Tower &amp; Corrugated Fill'!$C$13*0.1*'Cooling Tower &amp; Corrugated Fill'!$C$12)</f>
        <v/>
      </c>
      <c r="E336" s="14">
        <f>(0.24*((C336+0.4*'Cooling Tower &amp; Corrugated Fill'!$C$12))+0.62198*(0.61094*EXP(17.625*(((C336+0.4*'Cooling Tower &amp; Corrugated Fill'!$C$12))-32)/1.8/((((C336+0.4*'Cooling Tower &amp; Corrugated Fill'!$C$12))-32)/1.8+243.04)))/('Cooling Tower &amp; Corrugated Fill'!$C$14-(0.61094*EXP(17.625*(((C336+0.4*'Cooling Tower &amp; Corrugated Fill'!$C$12))-32)/1.8/((((C336+0.4*'Cooling Tower &amp; Corrugated Fill'!$C$12))-32)/1.8+243.04))))*(1061+0.444*((C336+0.4*'Cooling Tower &amp; Corrugated Fill'!$C$12))))-('Merkel Solver'!$C$4+'Cooling Tower &amp; Corrugated Fill'!$C$13*0.4*'Cooling Tower &amp; Corrugated Fill'!$C$12)</f>
        <v/>
      </c>
      <c r="F336" s="14">
        <f>(0.24*((C336+0.6*'Cooling Tower &amp; Corrugated Fill'!$C$12))+0.62198*(0.61094*EXP(17.625*(((C336+0.6*'Cooling Tower &amp; Corrugated Fill'!$C$12))-32)/1.8/((((C336+0.6*'Cooling Tower &amp; Corrugated Fill'!$C$12))-32)/1.8+243.04)))/('Cooling Tower &amp; Corrugated Fill'!$C$14-(0.61094*EXP(17.625*(((C336+0.6*'Cooling Tower &amp; Corrugated Fill'!$C$12))-32)/1.8/((((C336+0.6*'Cooling Tower &amp; Corrugated Fill'!$C$12))-32)/1.8+243.04))))*(1061+0.444*((C336+0.6*'Cooling Tower &amp; Corrugated Fill'!$C$12))))-('Merkel Solver'!$C$4+'Cooling Tower &amp; Corrugated Fill'!$C$13*0.6*'Cooling Tower &amp; Corrugated Fill'!$C$12)</f>
        <v/>
      </c>
      <c r="G336" s="14">
        <f>(0.24*((C336+0.9*'Cooling Tower &amp; Corrugated Fill'!$C$12))+0.62198*(0.61094*EXP(17.625*(((C336+0.9*'Cooling Tower &amp; Corrugated Fill'!$C$12))-32)/1.8/((((C336+0.9*'Cooling Tower &amp; Corrugated Fill'!$C$12))-32)/1.8+243.04)))/('Cooling Tower &amp; Corrugated Fill'!$C$14-(0.61094*EXP(17.625*(((C336+0.9*'Cooling Tower &amp; Corrugated Fill'!$C$12))-32)/1.8/((((C336+0.9*'Cooling Tower &amp; Corrugated Fill'!$C$12))-32)/1.8+243.04))))*(1061+0.444*((C336+0.9*'Cooling Tower &amp; Corrugated Fill'!$C$12))))-('Merkel Solver'!$C$4+'Cooling Tower &amp; Corrugated Fill'!$C$13*0.9*'Cooling Tower &amp; Corrugated Fill'!$C$12)</f>
        <v/>
      </c>
      <c r="H336" s="22">
        <f>IF(MIN(D336:G336)&lt;=0,99999,'Cooling Tower &amp; Corrugated Fill'!$C$12/4*(1/D336+1/E336+1/F336+1/G336))</f>
        <v/>
      </c>
    </row>
    <row r="337">
      <c r="B337" s="30" t="n">
        <v>33.1</v>
      </c>
      <c r="C337" s="12">
        <f>'Dashboard'!$C$9+B337</f>
        <v/>
      </c>
      <c r="D337" s="14">
        <f>(0.24*((C337+0.1*'Cooling Tower &amp; Corrugated Fill'!$C$12))+0.62198*(0.61094*EXP(17.625*(((C337+0.1*'Cooling Tower &amp; Corrugated Fill'!$C$12))-32)/1.8/((((C337+0.1*'Cooling Tower &amp; Corrugated Fill'!$C$12))-32)/1.8+243.04)))/('Cooling Tower &amp; Corrugated Fill'!$C$14-(0.61094*EXP(17.625*(((C337+0.1*'Cooling Tower &amp; Corrugated Fill'!$C$12))-32)/1.8/((((C337+0.1*'Cooling Tower &amp; Corrugated Fill'!$C$12))-32)/1.8+243.04))))*(1061+0.444*((C337+0.1*'Cooling Tower &amp; Corrugated Fill'!$C$12))))-('Merkel Solver'!$C$4+'Cooling Tower &amp; Corrugated Fill'!$C$13*0.1*'Cooling Tower &amp; Corrugated Fill'!$C$12)</f>
        <v/>
      </c>
      <c r="E337" s="14">
        <f>(0.24*((C337+0.4*'Cooling Tower &amp; Corrugated Fill'!$C$12))+0.62198*(0.61094*EXP(17.625*(((C337+0.4*'Cooling Tower &amp; Corrugated Fill'!$C$12))-32)/1.8/((((C337+0.4*'Cooling Tower &amp; Corrugated Fill'!$C$12))-32)/1.8+243.04)))/('Cooling Tower &amp; Corrugated Fill'!$C$14-(0.61094*EXP(17.625*(((C337+0.4*'Cooling Tower &amp; Corrugated Fill'!$C$12))-32)/1.8/((((C337+0.4*'Cooling Tower &amp; Corrugated Fill'!$C$12))-32)/1.8+243.04))))*(1061+0.444*((C337+0.4*'Cooling Tower &amp; Corrugated Fill'!$C$12))))-('Merkel Solver'!$C$4+'Cooling Tower &amp; Corrugated Fill'!$C$13*0.4*'Cooling Tower &amp; Corrugated Fill'!$C$12)</f>
        <v/>
      </c>
      <c r="F337" s="14">
        <f>(0.24*((C337+0.6*'Cooling Tower &amp; Corrugated Fill'!$C$12))+0.62198*(0.61094*EXP(17.625*(((C337+0.6*'Cooling Tower &amp; Corrugated Fill'!$C$12))-32)/1.8/((((C337+0.6*'Cooling Tower &amp; Corrugated Fill'!$C$12))-32)/1.8+243.04)))/('Cooling Tower &amp; Corrugated Fill'!$C$14-(0.61094*EXP(17.625*(((C337+0.6*'Cooling Tower &amp; Corrugated Fill'!$C$12))-32)/1.8/((((C337+0.6*'Cooling Tower &amp; Corrugated Fill'!$C$12))-32)/1.8+243.04))))*(1061+0.444*((C337+0.6*'Cooling Tower &amp; Corrugated Fill'!$C$12))))-('Merkel Solver'!$C$4+'Cooling Tower &amp; Corrugated Fill'!$C$13*0.6*'Cooling Tower &amp; Corrugated Fill'!$C$12)</f>
        <v/>
      </c>
      <c r="G337" s="14">
        <f>(0.24*((C337+0.9*'Cooling Tower &amp; Corrugated Fill'!$C$12))+0.62198*(0.61094*EXP(17.625*(((C337+0.9*'Cooling Tower &amp; Corrugated Fill'!$C$12))-32)/1.8/((((C337+0.9*'Cooling Tower &amp; Corrugated Fill'!$C$12))-32)/1.8+243.04)))/('Cooling Tower &amp; Corrugated Fill'!$C$14-(0.61094*EXP(17.625*(((C337+0.9*'Cooling Tower &amp; Corrugated Fill'!$C$12))-32)/1.8/((((C337+0.9*'Cooling Tower &amp; Corrugated Fill'!$C$12))-32)/1.8+243.04))))*(1061+0.444*((C337+0.9*'Cooling Tower &amp; Corrugated Fill'!$C$12))))-('Merkel Solver'!$C$4+'Cooling Tower &amp; Corrugated Fill'!$C$13*0.9*'Cooling Tower &amp; Corrugated Fill'!$C$12)</f>
        <v/>
      </c>
      <c r="H337" s="22">
        <f>IF(MIN(D337:G337)&lt;=0,99999,'Cooling Tower &amp; Corrugated Fill'!$C$12/4*(1/D337+1/E337+1/F337+1/G337))</f>
        <v/>
      </c>
    </row>
    <row r="338">
      <c r="B338" s="30" t="n">
        <v>33.2</v>
      </c>
      <c r="C338" s="12">
        <f>'Dashboard'!$C$9+B338</f>
        <v/>
      </c>
      <c r="D338" s="14">
        <f>(0.24*((C338+0.1*'Cooling Tower &amp; Corrugated Fill'!$C$12))+0.62198*(0.61094*EXP(17.625*(((C338+0.1*'Cooling Tower &amp; Corrugated Fill'!$C$12))-32)/1.8/((((C338+0.1*'Cooling Tower &amp; Corrugated Fill'!$C$12))-32)/1.8+243.04)))/('Cooling Tower &amp; Corrugated Fill'!$C$14-(0.61094*EXP(17.625*(((C338+0.1*'Cooling Tower &amp; Corrugated Fill'!$C$12))-32)/1.8/((((C338+0.1*'Cooling Tower &amp; Corrugated Fill'!$C$12))-32)/1.8+243.04))))*(1061+0.444*((C338+0.1*'Cooling Tower &amp; Corrugated Fill'!$C$12))))-('Merkel Solver'!$C$4+'Cooling Tower &amp; Corrugated Fill'!$C$13*0.1*'Cooling Tower &amp; Corrugated Fill'!$C$12)</f>
        <v/>
      </c>
      <c r="E338" s="14">
        <f>(0.24*((C338+0.4*'Cooling Tower &amp; Corrugated Fill'!$C$12))+0.62198*(0.61094*EXP(17.625*(((C338+0.4*'Cooling Tower &amp; Corrugated Fill'!$C$12))-32)/1.8/((((C338+0.4*'Cooling Tower &amp; Corrugated Fill'!$C$12))-32)/1.8+243.04)))/('Cooling Tower &amp; Corrugated Fill'!$C$14-(0.61094*EXP(17.625*(((C338+0.4*'Cooling Tower &amp; Corrugated Fill'!$C$12))-32)/1.8/((((C338+0.4*'Cooling Tower &amp; Corrugated Fill'!$C$12))-32)/1.8+243.04))))*(1061+0.444*((C338+0.4*'Cooling Tower &amp; Corrugated Fill'!$C$12))))-('Merkel Solver'!$C$4+'Cooling Tower &amp; Corrugated Fill'!$C$13*0.4*'Cooling Tower &amp; Corrugated Fill'!$C$12)</f>
        <v/>
      </c>
      <c r="F338" s="14">
        <f>(0.24*((C338+0.6*'Cooling Tower &amp; Corrugated Fill'!$C$12))+0.62198*(0.61094*EXP(17.625*(((C338+0.6*'Cooling Tower &amp; Corrugated Fill'!$C$12))-32)/1.8/((((C338+0.6*'Cooling Tower &amp; Corrugated Fill'!$C$12))-32)/1.8+243.04)))/('Cooling Tower &amp; Corrugated Fill'!$C$14-(0.61094*EXP(17.625*(((C338+0.6*'Cooling Tower &amp; Corrugated Fill'!$C$12))-32)/1.8/((((C338+0.6*'Cooling Tower &amp; Corrugated Fill'!$C$12))-32)/1.8+243.04))))*(1061+0.444*((C338+0.6*'Cooling Tower &amp; Corrugated Fill'!$C$12))))-('Merkel Solver'!$C$4+'Cooling Tower &amp; Corrugated Fill'!$C$13*0.6*'Cooling Tower &amp; Corrugated Fill'!$C$12)</f>
        <v/>
      </c>
      <c r="G338" s="14">
        <f>(0.24*((C338+0.9*'Cooling Tower &amp; Corrugated Fill'!$C$12))+0.62198*(0.61094*EXP(17.625*(((C338+0.9*'Cooling Tower &amp; Corrugated Fill'!$C$12))-32)/1.8/((((C338+0.9*'Cooling Tower &amp; Corrugated Fill'!$C$12))-32)/1.8+243.04)))/('Cooling Tower &amp; Corrugated Fill'!$C$14-(0.61094*EXP(17.625*(((C338+0.9*'Cooling Tower &amp; Corrugated Fill'!$C$12))-32)/1.8/((((C338+0.9*'Cooling Tower &amp; Corrugated Fill'!$C$12))-32)/1.8+243.04))))*(1061+0.444*((C338+0.9*'Cooling Tower &amp; Corrugated Fill'!$C$12))))-('Merkel Solver'!$C$4+'Cooling Tower &amp; Corrugated Fill'!$C$13*0.9*'Cooling Tower &amp; Corrugated Fill'!$C$12)</f>
        <v/>
      </c>
      <c r="H338" s="22">
        <f>IF(MIN(D338:G338)&lt;=0,99999,'Cooling Tower &amp; Corrugated Fill'!$C$12/4*(1/D338+1/E338+1/F338+1/G338))</f>
        <v/>
      </c>
    </row>
    <row r="339">
      <c r="B339" s="30" t="n">
        <v>33.3</v>
      </c>
      <c r="C339" s="12">
        <f>'Dashboard'!$C$9+B339</f>
        <v/>
      </c>
      <c r="D339" s="14">
        <f>(0.24*((C339+0.1*'Cooling Tower &amp; Corrugated Fill'!$C$12))+0.62198*(0.61094*EXP(17.625*(((C339+0.1*'Cooling Tower &amp; Corrugated Fill'!$C$12))-32)/1.8/((((C339+0.1*'Cooling Tower &amp; Corrugated Fill'!$C$12))-32)/1.8+243.04)))/('Cooling Tower &amp; Corrugated Fill'!$C$14-(0.61094*EXP(17.625*(((C339+0.1*'Cooling Tower &amp; Corrugated Fill'!$C$12))-32)/1.8/((((C339+0.1*'Cooling Tower &amp; Corrugated Fill'!$C$12))-32)/1.8+243.04))))*(1061+0.444*((C339+0.1*'Cooling Tower &amp; Corrugated Fill'!$C$12))))-('Merkel Solver'!$C$4+'Cooling Tower &amp; Corrugated Fill'!$C$13*0.1*'Cooling Tower &amp; Corrugated Fill'!$C$12)</f>
        <v/>
      </c>
      <c r="E339" s="14">
        <f>(0.24*((C339+0.4*'Cooling Tower &amp; Corrugated Fill'!$C$12))+0.62198*(0.61094*EXP(17.625*(((C339+0.4*'Cooling Tower &amp; Corrugated Fill'!$C$12))-32)/1.8/((((C339+0.4*'Cooling Tower &amp; Corrugated Fill'!$C$12))-32)/1.8+243.04)))/('Cooling Tower &amp; Corrugated Fill'!$C$14-(0.61094*EXP(17.625*(((C339+0.4*'Cooling Tower &amp; Corrugated Fill'!$C$12))-32)/1.8/((((C339+0.4*'Cooling Tower &amp; Corrugated Fill'!$C$12))-32)/1.8+243.04))))*(1061+0.444*((C339+0.4*'Cooling Tower &amp; Corrugated Fill'!$C$12))))-('Merkel Solver'!$C$4+'Cooling Tower &amp; Corrugated Fill'!$C$13*0.4*'Cooling Tower &amp; Corrugated Fill'!$C$12)</f>
        <v/>
      </c>
      <c r="F339" s="14">
        <f>(0.24*((C339+0.6*'Cooling Tower &amp; Corrugated Fill'!$C$12))+0.62198*(0.61094*EXP(17.625*(((C339+0.6*'Cooling Tower &amp; Corrugated Fill'!$C$12))-32)/1.8/((((C339+0.6*'Cooling Tower &amp; Corrugated Fill'!$C$12))-32)/1.8+243.04)))/('Cooling Tower &amp; Corrugated Fill'!$C$14-(0.61094*EXP(17.625*(((C339+0.6*'Cooling Tower &amp; Corrugated Fill'!$C$12))-32)/1.8/((((C339+0.6*'Cooling Tower &amp; Corrugated Fill'!$C$12))-32)/1.8+243.04))))*(1061+0.444*((C339+0.6*'Cooling Tower &amp; Corrugated Fill'!$C$12))))-('Merkel Solver'!$C$4+'Cooling Tower &amp; Corrugated Fill'!$C$13*0.6*'Cooling Tower &amp; Corrugated Fill'!$C$12)</f>
        <v/>
      </c>
      <c r="G339" s="14">
        <f>(0.24*((C339+0.9*'Cooling Tower &amp; Corrugated Fill'!$C$12))+0.62198*(0.61094*EXP(17.625*(((C339+0.9*'Cooling Tower &amp; Corrugated Fill'!$C$12))-32)/1.8/((((C339+0.9*'Cooling Tower &amp; Corrugated Fill'!$C$12))-32)/1.8+243.04)))/('Cooling Tower &amp; Corrugated Fill'!$C$14-(0.61094*EXP(17.625*(((C339+0.9*'Cooling Tower &amp; Corrugated Fill'!$C$12))-32)/1.8/((((C339+0.9*'Cooling Tower &amp; Corrugated Fill'!$C$12))-32)/1.8+243.04))))*(1061+0.444*((C339+0.9*'Cooling Tower &amp; Corrugated Fill'!$C$12))))-('Merkel Solver'!$C$4+'Cooling Tower &amp; Corrugated Fill'!$C$13*0.9*'Cooling Tower &amp; Corrugated Fill'!$C$12)</f>
        <v/>
      </c>
      <c r="H339" s="22">
        <f>IF(MIN(D339:G339)&lt;=0,99999,'Cooling Tower &amp; Corrugated Fill'!$C$12/4*(1/D339+1/E339+1/F339+1/G339))</f>
        <v/>
      </c>
    </row>
    <row r="340">
      <c r="B340" s="30" t="n">
        <v>33.4</v>
      </c>
      <c r="C340" s="12">
        <f>'Dashboard'!$C$9+B340</f>
        <v/>
      </c>
      <c r="D340" s="14">
        <f>(0.24*((C340+0.1*'Cooling Tower &amp; Corrugated Fill'!$C$12))+0.62198*(0.61094*EXP(17.625*(((C340+0.1*'Cooling Tower &amp; Corrugated Fill'!$C$12))-32)/1.8/((((C340+0.1*'Cooling Tower &amp; Corrugated Fill'!$C$12))-32)/1.8+243.04)))/('Cooling Tower &amp; Corrugated Fill'!$C$14-(0.61094*EXP(17.625*(((C340+0.1*'Cooling Tower &amp; Corrugated Fill'!$C$12))-32)/1.8/((((C340+0.1*'Cooling Tower &amp; Corrugated Fill'!$C$12))-32)/1.8+243.04))))*(1061+0.444*((C340+0.1*'Cooling Tower &amp; Corrugated Fill'!$C$12))))-('Merkel Solver'!$C$4+'Cooling Tower &amp; Corrugated Fill'!$C$13*0.1*'Cooling Tower &amp; Corrugated Fill'!$C$12)</f>
        <v/>
      </c>
      <c r="E340" s="14">
        <f>(0.24*((C340+0.4*'Cooling Tower &amp; Corrugated Fill'!$C$12))+0.62198*(0.61094*EXP(17.625*(((C340+0.4*'Cooling Tower &amp; Corrugated Fill'!$C$12))-32)/1.8/((((C340+0.4*'Cooling Tower &amp; Corrugated Fill'!$C$12))-32)/1.8+243.04)))/('Cooling Tower &amp; Corrugated Fill'!$C$14-(0.61094*EXP(17.625*(((C340+0.4*'Cooling Tower &amp; Corrugated Fill'!$C$12))-32)/1.8/((((C340+0.4*'Cooling Tower &amp; Corrugated Fill'!$C$12))-32)/1.8+243.04))))*(1061+0.444*((C340+0.4*'Cooling Tower &amp; Corrugated Fill'!$C$12))))-('Merkel Solver'!$C$4+'Cooling Tower &amp; Corrugated Fill'!$C$13*0.4*'Cooling Tower &amp; Corrugated Fill'!$C$12)</f>
        <v/>
      </c>
      <c r="F340" s="14">
        <f>(0.24*((C340+0.6*'Cooling Tower &amp; Corrugated Fill'!$C$12))+0.62198*(0.61094*EXP(17.625*(((C340+0.6*'Cooling Tower &amp; Corrugated Fill'!$C$12))-32)/1.8/((((C340+0.6*'Cooling Tower &amp; Corrugated Fill'!$C$12))-32)/1.8+243.04)))/('Cooling Tower &amp; Corrugated Fill'!$C$14-(0.61094*EXP(17.625*(((C340+0.6*'Cooling Tower &amp; Corrugated Fill'!$C$12))-32)/1.8/((((C340+0.6*'Cooling Tower &amp; Corrugated Fill'!$C$12))-32)/1.8+243.04))))*(1061+0.444*((C340+0.6*'Cooling Tower &amp; Corrugated Fill'!$C$12))))-('Merkel Solver'!$C$4+'Cooling Tower &amp; Corrugated Fill'!$C$13*0.6*'Cooling Tower &amp; Corrugated Fill'!$C$12)</f>
        <v/>
      </c>
      <c r="G340" s="14">
        <f>(0.24*((C340+0.9*'Cooling Tower &amp; Corrugated Fill'!$C$12))+0.62198*(0.61094*EXP(17.625*(((C340+0.9*'Cooling Tower &amp; Corrugated Fill'!$C$12))-32)/1.8/((((C340+0.9*'Cooling Tower &amp; Corrugated Fill'!$C$12))-32)/1.8+243.04)))/('Cooling Tower &amp; Corrugated Fill'!$C$14-(0.61094*EXP(17.625*(((C340+0.9*'Cooling Tower &amp; Corrugated Fill'!$C$12))-32)/1.8/((((C340+0.9*'Cooling Tower &amp; Corrugated Fill'!$C$12))-32)/1.8+243.04))))*(1061+0.444*((C340+0.9*'Cooling Tower &amp; Corrugated Fill'!$C$12))))-('Merkel Solver'!$C$4+'Cooling Tower &amp; Corrugated Fill'!$C$13*0.9*'Cooling Tower &amp; Corrugated Fill'!$C$12)</f>
        <v/>
      </c>
      <c r="H340" s="22">
        <f>IF(MIN(D340:G340)&lt;=0,99999,'Cooling Tower &amp; Corrugated Fill'!$C$12/4*(1/D340+1/E340+1/F340+1/G340))</f>
        <v/>
      </c>
    </row>
    <row r="341">
      <c r="B341" s="30" t="n">
        <v>33.5</v>
      </c>
      <c r="C341" s="12">
        <f>'Dashboard'!$C$9+B341</f>
        <v/>
      </c>
      <c r="D341" s="14">
        <f>(0.24*((C341+0.1*'Cooling Tower &amp; Corrugated Fill'!$C$12))+0.62198*(0.61094*EXP(17.625*(((C341+0.1*'Cooling Tower &amp; Corrugated Fill'!$C$12))-32)/1.8/((((C341+0.1*'Cooling Tower &amp; Corrugated Fill'!$C$12))-32)/1.8+243.04)))/('Cooling Tower &amp; Corrugated Fill'!$C$14-(0.61094*EXP(17.625*(((C341+0.1*'Cooling Tower &amp; Corrugated Fill'!$C$12))-32)/1.8/((((C341+0.1*'Cooling Tower &amp; Corrugated Fill'!$C$12))-32)/1.8+243.04))))*(1061+0.444*((C341+0.1*'Cooling Tower &amp; Corrugated Fill'!$C$12))))-('Merkel Solver'!$C$4+'Cooling Tower &amp; Corrugated Fill'!$C$13*0.1*'Cooling Tower &amp; Corrugated Fill'!$C$12)</f>
        <v/>
      </c>
      <c r="E341" s="14">
        <f>(0.24*((C341+0.4*'Cooling Tower &amp; Corrugated Fill'!$C$12))+0.62198*(0.61094*EXP(17.625*(((C341+0.4*'Cooling Tower &amp; Corrugated Fill'!$C$12))-32)/1.8/((((C341+0.4*'Cooling Tower &amp; Corrugated Fill'!$C$12))-32)/1.8+243.04)))/('Cooling Tower &amp; Corrugated Fill'!$C$14-(0.61094*EXP(17.625*(((C341+0.4*'Cooling Tower &amp; Corrugated Fill'!$C$12))-32)/1.8/((((C341+0.4*'Cooling Tower &amp; Corrugated Fill'!$C$12))-32)/1.8+243.04))))*(1061+0.444*((C341+0.4*'Cooling Tower &amp; Corrugated Fill'!$C$12))))-('Merkel Solver'!$C$4+'Cooling Tower &amp; Corrugated Fill'!$C$13*0.4*'Cooling Tower &amp; Corrugated Fill'!$C$12)</f>
        <v/>
      </c>
      <c r="F341" s="14">
        <f>(0.24*((C341+0.6*'Cooling Tower &amp; Corrugated Fill'!$C$12))+0.62198*(0.61094*EXP(17.625*(((C341+0.6*'Cooling Tower &amp; Corrugated Fill'!$C$12))-32)/1.8/((((C341+0.6*'Cooling Tower &amp; Corrugated Fill'!$C$12))-32)/1.8+243.04)))/('Cooling Tower &amp; Corrugated Fill'!$C$14-(0.61094*EXP(17.625*(((C341+0.6*'Cooling Tower &amp; Corrugated Fill'!$C$12))-32)/1.8/((((C341+0.6*'Cooling Tower &amp; Corrugated Fill'!$C$12))-32)/1.8+243.04))))*(1061+0.444*((C341+0.6*'Cooling Tower &amp; Corrugated Fill'!$C$12))))-('Merkel Solver'!$C$4+'Cooling Tower &amp; Corrugated Fill'!$C$13*0.6*'Cooling Tower &amp; Corrugated Fill'!$C$12)</f>
        <v/>
      </c>
      <c r="G341" s="14">
        <f>(0.24*((C341+0.9*'Cooling Tower &amp; Corrugated Fill'!$C$12))+0.62198*(0.61094*EXP(17.625*(((C341+0.9*'Cooling Tower &amp; Corrugated Fill'!$C$12))-32)/1.8/((((C341+0.9*'Cooling Tower &amp; Corrugated Fill'!$C$12))-32)/1.8+243.04)))/('Cooling Tower &amp; Corrugated Fill'!$C$14-(0.61094*EXP(17.625*(((C341+0.9*'Cooling Tower &amp; Corrugated Fill'!$C$12))-32)/1.8/((((C341+0.9*'Cooling Tower &amp; Corrugated Fill'!$C$12))-32)/1.8+243.04))))*(1061+0.444*((C341+0.9*'Cooling Tower &amp; Corrugated Fill'!$C$12))))-('Merkel Solver'!$C$4+'Cooling Tower &amp; Corrugated Fill'!$C$13*0.9*'Cooling Tower &amp; Corrugated Fill'!$C$12)</f>
        <v/>
      </c>
      <c r="H341" s="22">
        <f>IF(MIN(D341:G341)&lt;=0,99999,'Cooling Tower &amp; Corrugated Fill'!$C$12/4*(1/D341+1/E341+1/F341+1/G341))</f>
        <v/>
      </c>
    </row>
    <row r="342">
      <c r="B342" s="30" t="n">
        <v>33.6</v>
      </c>
      <c r="C342" s="12">
        <f>'Dashboard'!$C$9+B342</f>
        <v/>
      </c>
      <c r="D342" s="14">
        <f>(0.24*((C342+0.1*'Cooling Tower &amp; Corrugated Fill'!$C$12))+0.62198*(0.61094*EXP(17.625*(((C342+0.1*'Cooling Tower &amp; Corrugated Fill'!$C$12))-32)/1.8/((((C342+0.1*'Cooling Tower &amp; Corrugated Fill'!$C$12))-32)/1.8+243.04)))/('Cooling Tower &amp; Corrugated Fill'!$C$14-(0.61094*EXP(17.625*(((C342+0.1*'Cooling Tower &amp; Corrugated Fill'!$C$12))-32)/1.8/((((C342+0.1*'Cooling Tower &amp; Corrugated Fill'!$C$12))-32)/1.8+243.04))))*(1061+0.444*((C342+0.1*'Cooling Tower &amp; Corrugated Fill'!$C$12))))-('Merkel Solver'!$C$4+'Cooling Tower &amp; Corrugated Fill'!$C$13*0.1*'Cooling Tower &amp; Corrugated Fill'!$C$12)</f>
        <v/>
      </c>
      <c r="E342" s="14">
        <f>(0.24*((C342+0.4*'Cooling Tower &amp; Corrugated Fill'!$C$12))+0.62198*(0.61094*EXP(17.625*(((C342+0.4*'Cooling Tower &amp; Corrugated Fill'!$C$12))-32)/1.8/((((C342+0.4*'Cooling Tower &amp; Corrugated Fill'!$C$12))-32)/1.8+243.04)))/('Cooling Tower &amp; Corrugated Fill'!$C$14-(0.61094*EXP(17.625*(((C342+0.4*'Cooling Tower &amp; Corrugated Fill'!$C$12))-32)/1.8/((((C342+0.4*'Cooling Tower &amp; Corrugated Fill'!$C$12))-32)/1.8+243.04))))*(1061+0.444*((C342+0.4*'Cooling Tower &amp; Corrugated Fill'!$C$12))))-('Merkel Solver'!$C$4+'Cooling Tower &amp; Corrugated Fill'!$C$13*0.4*'Cooling Tower &amp; Corrugated Fill'!$C$12)</f>
        <v/>
      </c>
      <c r="F342" s="14">
        <f>(0.24*((C342+0.6*'Cooling Tower &amp; Corrugated Fill'!$C$12))+0.62198*(0.61094*EXP(17.625*(((C342+0.6*'Cooling Tower &amp; Corrugated Fill'!$C$12))-32)/1.8/((((C342+0.6*'Cooling Tower &amp; Corrugated Fill'!$C$12))-32)/1.8+243.04)))/('Cooling Tower &amp; Corrugated Fill'!$C$14-(0.61094*EXP(17.625*(((C342+0.6*'Cooling Tower &amp; Corrugated Fill'!$C$12))-32)/1.8/((((C342+0.6*'Cooling Tower &amp; Corrugated Fill'!$C$12))-32)/1.8+243.04))))*(1061+0.444*((C342+0.6*'Cooling Tower &amp; Corrugated Fill'!$C$12))))-('Merkel Solver'!$C$4+'Cooling Tower &amp; Corrugated Fill'!$C$13*0.6*'Cooling Tower &amp; Corrugated Fill'!$C$12)</f>
        <v/>
      </c>
      <c r="G342" s="14">
        <f>(0.24*((C342+0.9*'Cooling Tower &amp; Corrugated Fill'!$C$12))+0.62198*(0.61094*EXP(17.625*(((C342+0.9*'Cooling Tower &amp; Corrugated Fill'!$C$12))-32)/1.8/((((C342+0.9*'Cooling Tower &amp; Corrugated Fill'!$C$12))-32)/1.8+243.04)))/('Cooling Tower &amp; Corrugated Fill'!$C$14-(0.61094*EXP(17.625*(((C342+0.9*'Cooling Tower &amp; Corrugated Fill'!$C$12))-32)/1.8/((((C342+0.9*'Cooling Tower &amp; Corrugated Fill'!$C$12))-32)/1.8+243.04))))*(1061+0.444*((C342+0.9*'Cooling Tower &amp; Corrugated Fill'!$C$12))))-('Merkel Solver'!$C$4+'Cooling Tower &amp; Corrugated Fill'!$C$13*0.9*'Cooling Tower &amp; Corrugated Fill'!$C$12)</f>
        <v/>
      </c>
      <c r="H342" s="22">
        <f>IF(MIN(D342:G342)&lt;=0,99999,'Cooling Tower &amp; Corrugated Fill'!$C$12/4*(1/D342+1/E342+1/F342+1/G342))</f>
        <v/>
      </c>
    </row>
    <row r="343">
      <c r="B343" s="30" t="n">
        <v>33.7</v>
      </c>
      <c r="C343" s="12">
        <f>'Dashboard'!$C$9+B343</f>
        <v/>
      </c>
      <c r="D343" s="14">
        <f>(0.24*((C343+0.1*'Cooling Tower &amp; Corrugated Fill'!$C$12))+0.62198*(0.61094*EXP(17.625*(((C343+0.1*'Cooling Tower &amp; Corrugated Fill'!$C$12))-32)/1.8/((((C343+0.1*'Cooling Tower &amp; Corrugated Fill'!$C$12))-32)/1.8+243.04)))/('Cooling Tower &amp; Corrugated Fill'!$C$14-(0.61094*EXP(17.625*(((C343+0.1*'Cooling Tower &amp; Corrugated Fill'!$C$12))-32)/1.8/((((C343+0.1*'Cooling Tower &amp; Corrugated Fill'!$C$12))-32)/1.8+243.04))))*(1061+0.444*((C343+0.1*'Cooling Tower &amp; Corrugated Fill'!$C$12))))-('Merkel Solver'!$C$4+'Cooling Tower &amp; Corrugated Fill'!$C$13*0.1*'Cooling Tower &amp; Corrugated Fill'!$C$12)</f>
        <v/>
      </c>
      <c r="E343" s="14">
        <f>(0.24*((C343+0.4*'Cooling Tower &amp; Corrugated Fill'!$C$12))+0.62198*(0.61094*EXP(17.625*(((C343+0.4*'Cooling Tower &amp; Corrugated Fill'!$C$12))-32)/1.8/((((C343+0.4*'Cooling Tower &amp; Corrugated Fill'!$C$12))-32)/1.8+243.04)))/('Cooling Tower &amp; Corrugated Fill'!$C$14-(0.61094*EXP(17.625*(((C343+0.4*'Cooling Tower &amp; Corrugated Fill'!$C$12))-32)/1.8/((((C343+0.4*'Cooling Tower &amp; Corrugated Fill'!$C$12))-32)/1.8+243.04))))*(1061+0.444*((C343+0.4*'Cooling Tower &amp; Corrugated Fill'!$C$12))))-('Merkel Solver'!$C$4+'Cooling Tower &amp; Corrugated Fill'!$C$13*0.4*'Cooling Tower &amp; Corrugated Fill'!$C$12)</f>
        <v/>
      </c>
      <c r="F343" s="14">
        <f>(0.24*((C343+0.6*'Cooling Tower &amp; Corrugated Fill'!$C$12))+0.62198*(0.61094*EXP(17.625*(((C343+0.6*'Cooling Tower &amp; Corrugated Fill'!$C$12))-32)/1.8/((((C343+0.6*'Cooling Tower &amp; Corrugated Fill'!$C$12))-32)/1.8+243.04)))/('Cooling Tower &amp; Corrugated Fill'!$C$14-(0.61094*EXP(17.625*(((C343+0.6*'Cooling Tower &amp; Corrugated Fill'!$C$12))-32)/1.8/((((C343+0.6*'Cooling Tower &amp; Corrugated Fill'!$C$12))-32)/1.8+243.04))))*(1061+0.444*((C343+0.6*'Cooling Tower &amp; Corrugated Fill'!$C$12))))-('Merkel Solver'!$C$4+'Cooling Tower &amp; Corrugated Fill'!$C$13*0.6*'Cooling Tower &amp; Corrugated Fill'!$C$12)</f>
        <v/>
      </c>
      <c r="G343" s="14">
        <f>(0.24*((C343+0.9*'Cooling Tower &amp; Corrugated Fill'!$C$12))+0.62198*(0.61094*EXP(17.625*(((C343+0.9*'Cooling Tower &amp; Corrugated Fill'!$C$12))-32)/1.8/((((C343+0.9*'Cooling Tower &amp; Corrugated Fill'!$C$12))-32)/1.8+243.04)))/('Cooling Tower &amp; Corrugated Fill'!$C$14-(0.61094*EXP(17.625*(((C343+0.9*'Cooling Tower &amp; Corrugated Fill'!$C$12))-32)/1.8/((((C343+0.9*'Cooling Tower &amp; Corrugated Fill'!$C$12))-32)/1.8+243.04))))*(1061+0.444*((C343+0.9*'Cooling Tower &amp; Corrugated Fill'!$C$12))))-('Merkel Solver'!$C$4+'Cooling Tower &amp; Corrugated Fill'!$C$13*0.9*'Cooling Tower &amp; Corrugated Fill'!$C$12)</f>
        <v/>
      </c>
      <c r="H343" s="22">
        <f>IF(MIN(D343:G343)&lt;=0,99999,'Cooling Tower &amp; Corrugated Fill'!$C$12/4*(1/D343+1/E343+1/F343+1/G343))</f>
        <v/>
      </c>
    </row>
    <row r="344">
      <c r="B344" s="30" t="n">
        <v>33.8</v>
      </c>
      <c r="C344" s="12">
        <f>'Dashboard'!$C$9+B344</f>
        <v/>
      </c>
      <c r="D344" s="14">
        <f>(0.24*((C344+0.1*'Cooling Tower &amp; Corrugated Fill'!$C$12))+0.62198*(0.61094*EXP(17.625*(((C344+0.1*'Cooling Tower &amp; Corrugated Fill'!$C$12))-32)/1.8/((((C344+0.1*'Cooling Tower &amp; Corrugated Fill'!$C$12))-32)/1.8+243.04)))/('Cooling Tower &amp; Corrugated Fill'!$C$14-(0.61094*EXP(17.625*(((C344+0.1*'Cooling Tower &amp; Corrugated Fill'!$C$12))-32)/1.8/((((C344+0.1*'Cooling Tower &amp; Corrugated Fill'!$C$12))-32)/1.8+243.04))))*(1061+0.444*((C344+0.1*'Cooling Tower &amp; Corrugated Fill'!$C$12))))-('Merkel Solver'!$C$4+'Cooling Tower &amp; Corrugated Fill'!$C$13*0.1*'Cooling Tower &amp; Corrugated Fill'!$C$12)</f>
        <v/>
      </c>
      <c r="E344" s="14">
        <f>(0.24*((C344+0.4*'Cooling Tower &amp; Corrugated Fill'!$C$12))+0.62198*(0.61094*EXP(17.625*(((C344+0.4*'Cooling Tower &amp; Corrugated Fill'!$C$12))-32)/1.8/((((C344+0.4*'Cooling Tower &amp; Corrugated Fill'!$C$12))-32)/1.8+243.04)))/('Cooling Tower &amp; Corrugated Fill'!$C$14-(0.61094*EXP(17.625*(((C344+0.4*'Cooling Tower &amp; Corrugated Fill'!$C$12))-32)/1.8/((((C344+0.4*'Cooling Tower &amp; Corrugated Fill'!$C$12))-32)/1.8+243.04))))*(1061+0.444*((C344+0.4*'Cooling Tower &amp; Corrugated Fill'!$C$12))))-('Merkel Solver'!$C$4+'Cooling Tower &amp; Corrugated Fill'!$C$13*0.4*'Cooling Tower &amp; Corrugated Fill'!$C$12)</f>
        <v/>
      </c>
      <c r="F344" s="14">
        <f>(0.24*((C344+0.6*'Cooling Tower &amp; Corrugated Fill'!$C$12))+0.62198*(0.61094*EXP(17.625*(((C344+0.6*'Cooling Tower &amp; Corrugated Fill'!$C$12))-32)/1.8/((((C344+0.6*'Cooling Tower &amp; Corrugated Fill'!$C$12))-32)/1.8+243.04)))/('Cooling Tower &amp; Corrugated Fill'!$C$14-(0.61094*EXP(17.625*(((C344+0.6*'Cooling Tower &amp; Corrugated Fill'!$C$12))-32)/1.8/((((C344+0.6*'Cooling Tower &amp; Corrugated Fill'!$C$12))-32)/1.8+243.04))))*(1061+0.444*((C344+0.6*'Cooling Tower &amp; Corrugated Fill'!$C$12))))-('Merkel Solver'!$C$4+'Cooling Tower &amp; Corrugated Fill'!$C$13*0.6*'Cooling Tower &amp; Corrugated Fill'!$C$12)</f>
        <v/>
      </c>
      <c r="G344" s="14">
        <f>(0.24*((C344+0.9*'Cooling Tower &amp; Corrugated Fill'!$C$12))+0.62198*(0.61094*EXP(17.625*(((C344+0.9*'Cooling Tower &amp; Corrugated Fill'!$C$12))-32)/1.8/((((C344+0.9*'Cooling Tower &amp; Corrugated Fill'!$C$12))-32)/1.8+243.04)))/('Cooling Tower &amp; Corrugated Fill'!$C$14-(0.61094*EXP(17.625*(((C344+0.9*'Cooling Tower &amp; Corrugated Fill'!$C$12))-32)/1.8/((((C344+0.9*'Cooling Tower &amp; Corrugated Fill'!$C$12))-32)/1.8+243.04))))*(1061+0.444*((C344+0.9*'Cooling Tower &amp; Corrugated Fill'!$C$12))))-('Merkel Solver'!$C$4+'Cooling Tower &amp; Corrugated Fill'!$C$13*0.9*'Cooling Tower &amp; Corrugated Fill'!$C$12)</f>
        <v/>
      </c>
      <c r="H344" s="22">
        <f>IF(MIN(D344:G344)&lt;=0,99999,'Cooling Tower &amp; Corrugated Fill'!$C$12/4*(1/D344+1/E344+1/F344+1/G344))</f>
        <v/>
      </c>
    </row>
    <row r="345">
      <c r="B345" s="30" t="n">
        <v>33.9</v>
      </c>
      <c r="C345" s="12">
        <f>'Dashboard'!$C$9+B345</f>
        <v/>
      </c>
      <c r="D345" s="14">
        <f>(0.24*((C345+0.1*'Cooling Tower &amp; Corrugated Fill'!$C$12))+0.62198*(0.61094*EXP(17.625*(((C345+0.1*'Cooling Tower &amp; Corrugated Fill'!$C$12))-32)/1.8/((((C345+0.1*'Cooling Tower &amp; Corrugated Fill'!$C$12))-32)/1.8+243.04)))/('Cooling Tower &amp; Corrugated Fill'!$C$14-(0.61094*EXP(17.625*(((C345+0.1*'Cooling Tower &amp; Corrugated Fill'!$C$12))-32)/1.8/((((C345+0.1*'Cooling Tower &amp; Corrugated Fill'!$C$12))-32)/1.8+243.04))))*(1061+0.444*((C345+0.1*'Cooling Tower &amp; Corrugated Fill'!$C$12))))-('Merkel Solver'!$C$4+'Cooling Tower &amp; Corrugated Fill'!$C$13*0.1*'Cooling Tower &amp; Corrugated Fill'!$C$12)</f>
        <v/>
      </c>
      <c r="E345" s="14">
        <f>(0.24*((C345+0.4*'Cooling Tower &amp; Corrugated Fill'!$C$12))+0.62198*(0.61094*EXP(17.625*(((C345+0.4*'Cooling Tower &amp; Corrugated Fill'!$C$12))-32)/1.8/((((C345+0.4*'Cooling Tower &amp; Corrugated Fill'!$C$12))-32)/1.8+243.04)))/('Cooling Tower &amp; Corrugated Fill'!$C$14-(0.61094*EXP(17.625*(((C345+0.4*'Cooling Tower &amp; Corrugated Fill'!$C$12))-32)/1.8/((((C345+0.4*'Cooling Tower &amp; Corrugated Fill'!$C$12))-32)/1.8+243.04))))*(1061+0.444*((C345+0.4*'Cooling Tower &amp; Corrugated Fill'!$C$12))))-('Merkel Solver'!$C$4+'Cooling Tower &amp; Corrugated Fill'!$C$13*0.4*'Cooling Tower &amp; Corrugated Fill'!$C$12)</f>
        <v/>
      </c>
      <c r="F345" s="14">
        <f>(0.24*((C345+0.6*'Cooling Tower &amp; Corrugated Fill'!$C$12))+0.62198*(0.61094*EXP(17.625*(((C345+0.6*'Cooling Tower &amp; Corrugated Fill'!$C$12))-32)/1.8/((((C345+0.6*'Cooling Tower &amp; Corrugated Fill'!$C$12))-32)/1.8+243.04)))/('Cooling Tower &amp; Corrugated Fill'!$C$14-(0.61094*EXP(17.625*(((C345+0.6*'Cooling Tower &amp; Corrugated Fill'!$C$12))-32)/1.8/((((C345+0.6*'Cooling Tower &amp; Corrugated Fill'!$C$12))-32)/1.8+243.04))))*(1061+0.444*((C345+0.6*'Cooling Tower &amp; Corrugated Fill'!$C$12))))-('Merkel Solver'!$C$4+'Cooling Tower &amp; Corrugated Fill'!$C$13*0.6*'Cooling Tower &amp; Corrugated Fill'!$C$12)</f>
        <v/>
      </c>
      <c r="G345" s="14">
        <f>(0.24*((C345+0.9*'Cooling Tower &amp; Corrugated Fill'!$C$12))+0.62198*(0.61094*EXP(17.625*(((C345+0.9*'Cooling Tower &amp; Corrugated Fill'!$C$12))-32)/1.8/((((C345+0.9*'Cooling Tower &amp; Corrugated Fill'!$C$12))-32)/1.8+243.04)))/('Cooling Tower &amp; Corrugated Fill'!$C$14-(0.61094*EXP(17.625*(((C345+0.9*'Cooling Tower &amp; Corrugated Fill'!$C$12))-32)/1.8/((((C345+0.9*'Cooling Tower &amp; Corrugated Fill'!$C$12))-32)/1.8+243.04))))*(1061+0.444*((C345+0.9*'Cooling Tower &amp; Corrugated Fill'!$C$12))))-('Merkel Solver'!$C$4+'Cooling Tower &amp; Corrugated Fill'!$C$13*0.9*'Cooling Tower &amp; Corrugated Fill'!$C$12)</f>
        <v/>
      </c>
      <c r="H345" s="22">
        <f>IF(MIN(D345:G345)&lt;=0,99999,'Cooling Tower &amp; Corrugated Fill'!$C$12/4*(1/D345+1/E345+1/F345+1/G345))</f>
        <v/>
      </c>
    </row>
    <row r="346">
      <c r="B346" s="30" t="n">
        <v>34</v>
      </c>
      <c r="C346" s="12">
        <f>'Dashboard'!$C$9+B346</f>
        <v/>
      </c>
      <c r="D346" s="14">
        <f>(0.24*((C346+0.1*'Cooling Tower &amp; Corrugated Fill'!$C$12))+0.62198*(0.61094*EXP(17.625*(((C346+0.1*'Cooling Tower &amp; Corrugated Fill'!$C$12))-32)/1.8/((((C346+0.1*'Cooling Tower &amp; Corrugated Fill'!$C$12))-32)/1.8+243.04)))/('Cooling Tower &amp; Corrugated Fill'!$C$14-(0.61094*EXP(17.625*(((C346+0.1*'Cooling Tower &amp; Corrugated Fill'!$C$12))-32)/1.8/((((C346+0.1*'Cooling Tower &amp; Corrugated Fill'!$C$12))-32)/1.8+243.04))))*(1061+0.444*((C346+0.1*'Cooling Tower &amp; Corrugated Fill'!$C$12))))-('Merkel Solver'!$C$4+'Cooling Tower &amp; Corrugated Fill'!$C$13*0.1*'Cooling Tower &amp; Corrugated Fill'!$C$12)</f>
        <v/>
      </c>
      <c r="E346" s="14">
        <f>(0.24*((C346+0.4*'Cooling Tower &amp; Corrugated Fill'!$C$12))+0.62198*(0.61094*EXP(17.625*(((C346+0.4*'Cooling Tower &amp; Corrugated Fill'!$C$12))-32)/1.8/((((C346+0.4*'Cooling Tower &amp; Corrugated Fill'!$C$12))-32)/1.8+243.04)))/('Cooling Tower &amp; Corrugated Fill'!$C$14-(0.61094*EXP(17.625*(((C346+0.4*'Cooling Tower &amp; Corrugated Fill'!$C$12))-32)/1.8/((((C346+0.4*'Cooling Tower &amp; Corrugated Fill'!$C$12))-32)/1.8+243.04))))*(1061+0.444*((C346+0.4*'Cooling Tower &amp; Corrugated Fill'!$C$12))))-('Merkel Solver'!$C$4+'Cooling Tower &amp; Corrugated Fill'!$C$13*0.4*'Cooling Tower &amp; Corrugated Fill'!$C$12)</f>
        <v/>
      </c>
      <c r="F346" s="14">
        <f>(0.24*((C346+0.6*'Cooling Tower &amp; Corrugated Fill'!$C$12))+0.62198*(0.61094*EXP(17.625*(((C346+0.6*'Cooling Tower &amp; Corrugated Fill'!$C$12))-32)/1.8/((((C346+0.6*'Cooling Tower &amp; Corrugated Fill'!$C$12))-32)/1.8+243.04)))/('Cooling Tower &amp; Corrugated Fill'!$C$14-(0.61094*EXP(17.625*(((C346+0.6*'Cooling Tower &amp; Corrugated Fill'!$C$12))-32)/1.8/((((C346+0.6*'Cooling Tower &amp; Corrugated Fill'!$C$12))-32)/1.8+243.04))))*(1061+0.444*((C346+0.6*'Cooling Tower &amp; Corrugated Fill'!$C$12))))-('Merkel Solver'!$C$4+'Cooling Tower &amp; Corrugated Fill'!$C$13*0.6*'Cooling Tower &amp; Corrugated Fill'!$C$12)</f>
        <v/>
      </c>
      <c r="G346" s="14">
        <f>(0.24*((C346+0.9*'Cooling Tower &amp; Corrugated Fill'!$C$12))+0.62198*(0.61094*EXP(17.625*(((C346+0.9*'Cooling Tower &amp; Corrugated Fill'!$C$12))-32)/1.8/((((C346+0.9*'Cooling Tower &amp; Corrugated Fill'!$C$12))-32)/1.8+243.04)))/('Cooling Tower &amp; Corrugated Fill'!$C$14-(0.61094*EXP(17.625*(((C346+0.9*'Cooling Tower &amp; Corrugated Fill'!$C$12))-32)/1.8/((((C346+0.9*'Cooling Tower &amp; Corrugated Fill'!$C$12))-32)/1.8+243.04))))*(1061+0.444*((C346+0.9*'Cooling Tower &amp; Corrugated Fill'!$C$12))))-('Merkel Solver'!$C$4+'Cooling Tower &amp; Corrugated Fill'!$C$13*0.9*'Cooling Tower &amp; Corrugated Fill'!$C$12)</f>
        <v/>
      </c>
      <c r="H346" s="22">
        <f>IF(MIN(D346:G346)&lt;=0,99999,'Cooling Tower &amp; Corrugated Fill'!$C$12/4*(1/D346+1/E346+1/F346+1/G346))</f>
        <v/>
      </c>
    </row>
    <row r="347">
      <c r="B347" s="30" t="n">
        <v>34.1</v>
      </c>
      <c r="C347" s="12">
        <f>'Dashboard'!$C$9+B347</f>
        <v/>
      </c>
      <c r="D347" s="14">
        <f>(0.24*((C347+0.1*'Cooling Tower &amp; Corrugated Fill'!$C$12))+0.62198*(0.61094*EXP(17.625*(((C347+0.1*'Cooling Tower &amp; Corrugated Fill'!$C$12))-32)/1.8/((((C347+0.1*'Cooling Tower &amp; Corrugated Fill'!$C$12))-32)/1.8+243.04)))/('Cooling Tower &amp; Corrugated Fill'!$C$14-(0.61094*EXP(17.625*(((C347+0.1*'Cooling Tower &amp; Corrugated Fill'!$C$12))-32)/1.8/((((C347+0.1*'Cooling Tower &amp; Corrugated Fill'!$C$12))-32)/1.8+243.04))))*(1061+0.444*((C347+0.1*'Cooling Tower &amp; Corrugated Fill'!$C$12))))-('Merkel Solver'!$C$4+'Cooling Tower &amp; Corrugated Fill'!$C$13*0.1*'Cooling Tower &amp; Corrugated Fill'!$C$12)</f>
        <v/>
      </c>
      <c r="E347" s="14">
        <f>(0.24*((C347+0.4*'Cooling Tower &amp; Corrugated Fill'!$C$12))+0.62198*(0.61094*EXP(17.625*(((C347+0.4*'Cooling Tower &amp; Corrugated Fill'!$C$12))-32)/1.8/((((C347+0.4*'Cooling Tower &amp; Corrugated Fill'!$C$12))-32)/1.8+243.04)))/('Cooling Tower &amp; Corrugated Fill'!$C$14-(0.61094*EXP(17.625*(((C347+0.4*'Cooling Tower &amp; Corrugated Fill'!$C$12))-32)/1.8/((((C347+0.4*'Cooling Tower &amp; Corrugated Fill'!$C$12))-32)/1.8+243.04))))*(1061+0.444*((C347+0.4*'Cooling Tower &amp; Corrugated Fill'!$C$12))))-('Merkel Solver'!$C$4+'Cooling Tower &amp; Corrugated Fill'!$C$13*0.4*'Cooling Tower &amp; Corrugated Fill'!$C$12)</f>
        <v/>
      </c>
      <c r="F347" s="14">
        <f>(0.24*((C347+0.6*'Cooling Tower &amp; Corrugated Fill'!$C$12))+0.62198*(0.61094*EXP(17.625*(((C347+0.6*'Cooling Tower &amp; Corrugated Fill'!$C$12))-32)/1.8/((((C347+0.6*'Cooling Tower &amp; Corrugated Fill'!$C$12))-32)/1.8+243.04)))/('Cooling Tower &amp; Corrugated Fill'!$C$14-(0.61094*EXP(17.625*(((C347+0.6*'Cooling Tower &amp; Corrugated Fill'!$C$12))-32)/1.8/((((C347+0.6*'Cooling Tower &amp; Corrugated Fill'!$C$12))-32)/1.8+243.04))))*(1061+0.444*((C347+0.6*'Cooling Tower &amp; Corrugated Fill'!$C$12))))-('Merkel Solver'!$C$4+'Cooling Tower &amp; Corrugated Fill'!$C$13*0.6*'Cooling Tower &amp; Corrugated Fill'!$C$12)</f>
        <v/>
      </c>
      <c r="G347" s="14">
        <f>(0.24*((C347+0.9*'Cooling Tower &amp; Corrugated Fill'!$C$12))+0.62198*(0.61094*EXP(17.625*(((C347+0.9*'Cooling Tower &amp; Corrugated Fill'!$C$12))-32)/1.8/((((C347+0.9*'Cooling Tower &amp; Corrugated Fill'!$C$12))-32)/1.8+243.04)))/('Cooling Tower &amp; Corrugated Fill'!$C$14-(0.61094*EXP(17.625*(((C347+0.9*'Cooling Tower &amp; Corrugated Fill'!$C$12))-32)/1.8/((((C347+0.9*'Cooling Tower &amp; Corrugated Fill'!$C$12))-32)/1.8+243.04))))*(1061+0.444*((C347+0.9*'Cooling Tower &amp; Corrugated Fill'!$C$12))))-('Merkel Solver'!$C$4+'Cooling Tower &amp; Corrugated Fill'!$C$13*0.9*'Cooling Tower &amp; Corrugated Fill'!$C$12)</f>
        <v/>
      </c>
      <c r="H347" s="22">
        <f>IF(MIN(D347:G347)&lt;=0,99999,'Cooling Tower &amp; Corrugated Fill'!$C$12/4*(1/D347+1/E347+1/F347+1/G347))</f>
        <v/>
      </c>
    </row>
    <row r="348">
      <c r="B348" s="30" t="n">
        <v>34.2</v>
      </c>
      <c r="C348" s="12">
        <f>'Dashboard'!$C$9+B348</f>
        <v/>
      </c>
      <c r="D348" s="14">
        <f>(0.24*((C348+0.1*'Cooling Tower &amp; Corrugated Fill'!$C$12))+0.62198*(0.61094*EXP(17.625*(((C348+0.1*'Cooling Tower &amp; Corrugated Fill'!$C$12))-32)/1.8/((((C348+0.1*'Cooling Tower &amp; Corrugated Fill'!$C$12))-32)/1.8+243.04)))/('Cooling Tower &amp; Corrugated Fill'!$C$14-(0.61094*EXP(17.625*(((C348+0.1*'Cooling Tower &amp; Corrugated Fill'!$C$12))-32)/1.8/((((C348+0.1*'Cooling Tower &amp; Corrugated Fill'!$C$12))-32)/1.8+243.04))))*(1061+0.444*((C348+0.1*'Cooling Tower &amp; Corrugated Fill'!$C$12))))-('Merkel Solver'!$C$4+'Cooling Tower &amp; Corrugated Fill'!$C$13*0.1*'Cooling Tower &amp; Corrugated Fill'!$C$12)</f>
        <v/>
      </c>
      <c r="E348" s="14">
        <f>(0.24*((C348+0.4*'Cooling Tower &amp; Corrugated Fill'!$C$12))+0.62198*(0.61094*EXP(17.625*(((C348+0.4*'Cooling Tower &amp; Corrugated Fill'!$C$12))-32)/1.8/((((C348+0.4*'Cooling Tower &amp; Corrugated Fill'!$C$12))-32)/1.8+243.04)))/('Cooling Tower &amp; Corrugated Fill'!$C$14-(0.61094*EXP(17.625*(((C348+0.4*'Cooling Tower &amp; Corrugated Fill'!$C$12))-32)/1.8/((((C348+0.4*'Cooling Tower &amp; Corrugated Fill'!$C$12))-32)/1.8+243.04))))*(1061+0.444*((C348+0.4*'Cooling Tower &amp; Corrugated Fill'!$C$12))))-('Merkel Solver'!$C$4+'Cooling Tower &amp; Corrugated Fill'!$C$13*0.4*'Cooling Tower &amp; Corrugated Fill'!$C$12)</f>
        <v/>
      </c>
      <c r="F348" s="14">
        <f>(0.24*((C348+0.6*'Cooling Tower &amp; Corrugated Fill'!$C$12))+0.62198*(0.61094*EXP(17.625*(((C348+0.6*'Cooling Tower &amp; Corrugated Fill'!$C$12))-32)/1.8/((((C348+0.6*'Cooling Tower &amp; Corrugated Fill'!$C$12))-32)/1.8+243.04)))/('Cooling Tower &amp; Corrugated Fill'!$C$14-(0.61094*EXP(17.625*(((C348+0.6*'Cooling Tower &amp; Corrugated Fill'!$C$12))-32)/1.8/((((C348+0.6*'Cooling Tower &amp; Corrugated Fill'!$C$12))-32)/1.8+243.04))))*(1061+0.444*((C348+0.6*'Cooling Tower &amp; Corrugated Fill'!$C$12))))-('Merkel Solver'!$C$4+'Cooling Tower &amp; Corrugated Fill'!$C$13*0.6*'Cooling Tower &amp; Corrugated Fill'!$C$12)</f>
        <v/>
      </c>
      <c r="G348" s="14">
        <f>(0.24*((C348+0.9*'Cooling Tower &amp; Corrugated Fill'!$C$12))+0.62198*(0.61094*EXP(17.625*(((C348+0.9*'Cooling Tower &amp; Corrugated Fill'!$C$12))-32)/1.8/((((C348+0.9*'Cooling Tower &amp; Corrugated Fill'!$C$12))-32)/1.8+243.04)))/('Cooling Tower &amp; Corrugated Fill'!$C$14-(0.61094*EXP(17.625*(((C348+0.9*'Cooling Tower &amp; Corrugated Fill'!$C$12))-32)/1.8/((((C348+0.9*'Cooling Tower &amp; Corrugated Fill'!$C$12))-32)/1.8+243.04))))*(1061+0.444*((C348+0.9*'Cooling Tower &amp; Corrugated Fill'!$C$12))))-('Merkel Solver'!$C$4+'Cooling Tower &amp; Corrugated Fill'!$C$13*0.9*'Cooling Tower &amp; Corrugated Fill'!$C$12)</f>
        <v/>
      </c>
      <c r="H348" s="22">
        <f>IF(MIN(D348:G348)&lt;=0,99999,'Cooling Tower &amp; Corrugated Fill'!$C$12/4*(1/D348+1/E348+1/F348+1/G348))</f>
        <v/>
      </c>
    </row>
    <row r="349">
      <c r="B349" s="30" t="n">
        <v>34.3</v>
      </c>
      <c r="C349" s="12">
        <f>'Dashboard'!$C$9+B349</f>
        <v/>
      </c>
      <c r="D349" s="14">
        <f>(0.24*((C349+0.1*'Cooling Tower &amp; Corrugated Fill'!$C$12))+0.62198*(0.61094*EXP(17.625*(((C349+0.1*'Cooling Tower &amp; Corrugated Fill'!$C$12))-32)/1.8/((((C349+0.1*'Cooling Tower &amp; Corrugated Fill'!$C$12))-32)/1.8+243.04)))/('Cooling Tower &amp; Corrugated Fill'!$C$14-(0.61094*EXP(17.625*(((C349+0.1*'Cooling Tower &amp; Corrugated Fill'!$C$12))-32)/1.8/((((C349+0.1*'Cooling Tower &amp; Corrugated Fill'!$C$12))-32)/1.8+243.04))))*(1061+0.444*((C349+0.1*'Cooling Tower &amp; Corrugated Fill'!$C$12))))-('Merkel Solver'!$C$4+'Cooling Tower &amp; Corrugated Fill'!$C$13*0.1*'Cooling Tower &amp; Corrugated Fill'!$C$12)</f>
        <v/>
      </c>
      <c r="E349" s="14">
        <f>(0.24*((C349+0.4*'Cooling Tower &amp; Corrugated Fill'!$C$12))+0.62198*(0.61094*EXP(17.625*(((C349+0.4*'Cooling Tower &amp; Corrugated Fill'!$C$12))-32)/1.8/((((C349+0.4*'Cooling Tower &amp; Corrugated Fill'!$C$12))-32)/1.8+243.04)))/('Cooling Tower &amp; Corrugated Fill'!$C$14-(0.61094*EXP(17.625*(((C349+0.4*'Cooling Tower &amp; Corrugated Fill'!$C$12))-32)/1.8/((((C349+0.4*'Cooling Tower &amp; Corrugated Fill'!$C$12))-32)/1.8+243.04))))*(1061+0.444*((C349+0.4*'Cooling Tower &amp; Corrugated Fill'!$C$12))))-('Merkel Solver'!$C$4+'Cooling Tower &amp; Corrugated Fill'!$C$13*0.4*'Cooling Tower &amp; Corrugated Fill'!$C$12)</f>
        <v/>
      </c>
      <c r="F349" s="14">
        <f>(0.24*((C349+0.6*'Cooling Tower &amp; Corrugated Fill'!$C$12))+0.62198*(0.61094*EXP(17.625*(((C349+0.6*'Cooling Tower &amp; Corrugated Fill'!$C$12))-32)/1.8/((((C349+0.6*'Cooling Tower &amp; Corrugated Fill'!$C$12))-32)/1.8+243.04)))/('Cooling Tower &amp; Corrugated Fill'!$C$14-(0.61094*EXP(17.625*(((C349+0.6*'Cooling Tower &amp; Corrugated Fill'!$C$12))-32)/1.8/((((C349+0.6*'Cooling Tower &amp; Corrugated Fill'!$C$12))-32)/1.8+243.04))))*(1061+0.444*((C349+0.6*'Cooling Tower &amp; Corrugated Fill'!$C$12))))-('Merkel Solver'!$C$4+'Cooling Tower &amp; Corrugated Fill'!$C$13*0.6*'Cooling Tower &amp; Corrugated Fill'!$C$12)</f>
        <v/>
      </c>
      <c r="G349" s="14">
        <f>(0.24*((C349+0.9*'Cooling Tower &amp; Corrugated Fill'!$C$12))+0.62198*(0.61094*EXP(17.625*(((C349+0.9*'Cooling Tower &amp; Corrugated Fill'!$C$12))-32)/1.8/((((C349+0.9*'Cooling Tower &amp; Corrugated Fill'!$C$12))-32)/1.8+243.04)))/('Cooling Tower &amp; Corrugated Fill'!$C$14-(0.61094*EXP(17.625*(((C349+0.9*'Cooling Tower &amp; Corrugated Fill'!$C$12))-32)/1.8/((((C349+0.9*'Cooling Tower &amp; Corrugated Fill'!$C$12))-32)/1.8+243.04))))*(1061+0.444*((C349+0.9*'Cooling Tower &amp; Corrugated Fill'!$C$12))))-('Merkel Solver'!$C$4+'Cooling Tower &amp; Corrugated Fill'!$C$13*0.9*'Cooling Tower &amp; Corrugated Fill'!$C$12)</f>
        <v/>
      </c>
      <c r="H349" s="22">
        <f>IF(MIN(D349:G349)&lt;=0,99999,'Cooling Tower &amp; Corrugated Fill'!$C$12/4*(1/D349+1/E349+1/F349+1/G349))</f>
        <v/>
      </c>
    </row>
    <row r="350">
      <c r="B350" s="30" t="n">
        <v>34.4</v>
      </c>
      <c r="C350" s="12">
        <f>'Dashboard'!$C$9+B350</f>
        <v/>
      </c>
      <c r="D350" s="14">
        <f>(0.24*((C350+0.1*'Cooling Tower &amp; Corrugated Fill'!$C$12))+0.62198*(0.61094*EXP(17.625*(((C350+0.1*'Cooling Tower &amp; Corrugated Fill'!$C$12))-32)/1.8/((((C350+0.1*'Cooling Tower &amp; Corrugated Fill'!$C$12))-32)/1.8+243.04)))/('Cooling Tower &amp; Corrugated Fill'!$C$14-(0.61094*EXP(17.625*(((C350+0.1*'Cooling Tower &amp; Corrugated Fill'!$C$12))-32)/1.8/((((C350+0.1*'Cooling Tower &amp; Corrugated Fill'!$C$12))-32)/1.8+243.04))))*(1061+0.444*((C350+0.1*'Cooling Tower &amp; Corrugated Fill'!$C$12))))-('Merkel Solver'!$C$4+'Cooling Tower &amp; Corrugated Fill'!$C$13*0.1*'Cooling Tower &amp; Corrugated Fill'!$C$12)</f>
        <v/>
      </c>
      <c r="E350" s="14">
        <f>(0.24*((C350+0.4*'Cooling Tower &amp; Corrugated Fill'!$C$12))+0.62198*(0.61094*EXP(17.625*(((C350+0.4*'Cooling Tower &amp; Corrugated Fill'!$C$12))-32)/1.8/((((C350+0.4*'Cooling Tower &amp; Corrugated Fill'!$C$12))-32)/1.8+243.04)))/('Cooling Tower &amp; Corrugated Fill'!$C$14-(0.61094*EXP(17.625*(((C350+0.4*'Cooling Tower &amp; Corrugated Fill'!$C$12))-32)/1.8/((((C350+0.4*'Cooling Tower &amp; Corrugated Fill'!$C$12))-32)/1.8+243.04))))*(1061+0.444*((C350+0.4*'Cooling Tower &amp; Corrugated Fill'!$C$12))))-('Merkel Solver'!$C$4+'Cooling Tower &amp; Corrugated Fill'!$C$13*0.4*'Cooling Tower &amp; Corrugated Fill'!$C$12)</f>
        <v/>
      </c>
      <c r="F350" s="14">
        <f>(0.24*((C350+0.6*'Cooling Tower &amp; Corrugated Fill'!$C$12))+0.62198*(0.61094*EXP(17.625*(((C350+0.6*'Cooling Tower &amp; Corrugated Fill'!$C$12))-32)/1.8/((((C350+0.6*'Cooling Tower &amp; Corrugated Fill'!$C$12))-32)/1.8+243.04)))/('Cooling Tower &amp; Corrugated Fill'!$C$14-(0.61094*EXP(17.625*(((C350+0.6*'Cooling Tower &amp; Corrugated Fill'!$C$12))-32)/1.8/((((C350+0.6*'Cooling Tower &amp; Corrugated Fill'!$C$12))-32)/1.8+243.04))))*(1061+0.444*((C350+0.6*'Cooling Tower &amp; Corrugated Fill'!$C$12))))-('Merkel Solver'!$C$4+'Cooling Tower &amp; Corrugated Fill'!$C$13*0.6*'Cooling Tower &amp; Corrugated Fill'!$C$12)</f>
        <v/>
      </c>
      <c r="G350" s="14">
        <f>(0.24*((C350+0.9*'Cooling Tower &amp; Corrugated Fill'!$C$12))+0.62198*(0.61094*EXP(17.625*(((C350+0.9*'Cooling Tower &amp; Corrugated Fill'!$C$12))-32)/1.8/((((C350+0.9*'Cooling Tower &amp; Corrugated Fill'!$C$12))-32)/1.8+243.04)))/('Cooling Tower &amp; Corrugated Fill'!$C$14-(0.61094*EXP(17.625*(((C350+0.9*'Cooling Tower &amp; Corrugated Fill'!$C$12))-32)/1.8/((((C350+0.9*'Cooling Tower &amp; Corrugated Fill'!$C$12))-32)/1.8+243.04))))*(1061+0.444*((C350+0.9*'Cooling Tower &amp; Corrugated Fill'!$C$12))))-('Merkel Solver'!$C$4+'Cooling Tower &amp; Corrugated Fill'!$C$13*0.9*'Cooling Tower &amp; Corrugated Fill'!$C$12)</f>
        <v/>
      </c>
      <c r="H350" s="22">
        <f>IF(MIN(D350:G350)&lt;=0,99999,'Cooling Tower &amp; Corrugated Fill'!$C$12/4*(1/D350+1/E350+1/F350+1/G350))</f>
        <v/>
      </c>
    </row>
    <row r="351">
      <c r="B351" s="30" t="n">
        <v>34.5</v>
      </c>
      <c r="C351" s="12">
        <f>'Dashboard'!$C$9+B351</f>
        <v/>
      </c>
      <c r="D351" s="14">
        <f>(0.24*((C351+0.1*'Cooling Tower &amp; Corrugated Fill'!$C$12))+0.62198*(0.61094*EXP(17.625*(((C351+0.1*'Cooling Tower &amp; Corrugated Fill'!$C$12))-32)/1.8/((((C351+0.1*'Cooling Tower &amp; Corrugated Fill'!$C$12))-32)/1.8+243.04)))/('Cooling Tower &amp; Corrugated Fill'!$C$14-(0.61094*EXP(17.625*(((C351+0.1*'Cooling Tower &amp; Corrugated Fill'!$C$12))-32)/1.8/((((C351+0.1*'Cooling Tower &amp; Corrugated Fill'!$C$12))-32)/1.8+243.04))))*(1061+0.444*((C351+0.1*'Cooling Tower &amp; Corrugated Fill'!$C$12))))-('Merkel Solver'!$C$4+'Cooling Tower &amp; Corrugated Fill'!$C$13*0.1*'Cooling Tower &amp; Corrugated Fill'!$C$12)</f>
        <v/>
      </c>
      <c r="E351" s="14">
        <f>(0.24*((C351+0.4*'Cooling Tower &amp; Corrugated Fill'!$C$12))+0.62198*(0.61094*EXP(17.625*(((C351+0.4*'Cooling Tower &amp; Corrugated Fill'!$C$12))-32)/1.8/((((C351+0.4*'Cooling Tower &amp; Corrugated Fill'!$C$12))-32)/1.8+243.04)))/('Cooling Tower &amp; Corrugated Fill'!$C$14-(0.61094*EXP(17.625*(((C351+0.4*'Cooling Tower &amp; Corrugated Fill'!$C$12))-32)/1.8/((((C351+0.4*'Cooling Tower &amp; Corrugated Fill'!$C$12))-32)/1.8+243.04))))*(1061+0.444*((C351+0.4*'Cooling Tower &amp; Corrugated Fill'!$C$12))))-('Merkel Solver'!$C$4+'Cooling Tower &amp; Corrugated Fill'!$C$13*0.4*'Cooling Tower &amp; Corrugated Fill'!$C$12)</f>
        <v/>
      </c>
      <c r="F351" s="14">
        <f>(0.24*((C351+0.6*'Cooling Tower &amp; Corrugated Fill'!$C$12))+0.62198*(0.61094*EXP(17.625*(((C351+0.6*'Cooling Tower &amp; Corrugated Fill'!$C$12))-32)/1.8/((((C351+0.6*'Cooling Tower &amp; Corrugated Fill'!$C$12))-32)/1.8+243.04)))/('Cooling Tower &amp; Corrugated Fill'!$C$14-(0.61094*EXP(17.625*(((C351+0.6*'Cooling Tower &amp; Corrugated Fill'!$C$12))-32)/1.8/((((C351+0.6*'Cooling Tower &amp; Corrugated Fill'!$C$12))-32)/1.8+243.04))))*(1061+0.444*((C351+0.6*'Cooling Tower &amp; Corrugated Fill'!$C$12))))-('Merkel Solver'!$C$4+'Cooling Tower &amp; Corrugated Fill'!$C$13*0.6*'Cooling Tower &amp; Corrugated Fill'!$C$12)</f>
        <v/>
      </c>
      <c r="G351" s="14">
        <f>(0.24*((C351+0.9*'Cooling Tower &amp; Corrugated Fill'!$C$12))+0.62198*(0.61094*EXP(17.625*(((C351+0.9*'Cooling Tower &amp; Corrugated Fill'!$C$12))-32)/1.8/((((C351+0.9*'Cooling Tower &amp; Corrugated Fill'!$C$12))-32)/1.8+243.04)))/('Cooling Tower &amp; Corrugated Fill'!$C$14-(0.61094*EXP(17.625*(((C351+0.9*'Cooling Tower &amp; Corrugated Fill'!$C$12))-32)/1.8/((((C351+0.9*'Cooling Tower &amp; Corrugated Fill'!$C$12))-32)/1.8+243.04))))*(1061+0.444*((C351+0.9*'Cooling Tower &amp; Corrugated Fill'!$C$12))))-('Merkel Solver'!$C$4+'Cooling Tower &amp; Corrugated Fill'!$C$13*0.9*'Cooling Tower &amp; Corrugated Fill'!$C$12)</f>
        <v/>
      </c>
      <c r="H351" s="22">
        <f>IF(MIN(D351:G351)&lt;=0,99999,'Cooling Tower &amp; Corrugated Fill'!$C$12/4*(1/D351+1/E351+1/F351+1/G351))</f>
        <v/>
      </c>
    </row>
    <row r="352">
      <c r="B352" s="30" t="n">
        <v>34.6</v>
      </c>
      <c r="C352" s="12">
        <f>'Dashboard'!$C$9+B352</f>
        <v/>
      </c>
      <c r="D352" s="14">
        <f>(0.24*((C352+0.1*'Cooling Tower &amp; Corrugated Fill'!$C$12))+0.62198*(0.61094*EXP(17.625*(((C352+0.1*'Cooling Tower &amp; Corrugated Fill'!$C$12))-32)/1.8/((((C352+0.1*'Cooling Tower &amp; Corrugated Fill'!$C$12))-32)/1.8+243.04)))/('Cooling Tower &amp; Corrugated Fill'!$C$14-(0.61094*EXP(17.625*(((C352+0.1*'Cooling Tower &amp; Corrugated Fill'!$C$12))-32)/1.8/((((C352+0.1*'Cooling Tower &amp; Corrugated Fill'!$C$12))-32)/1.8+243.04))))*(1061+0.444*((C352+0.1*'Cooling Tower &amp; Corrugated Fill'!$C$12))))-('Merkel Solver'!$C$4+'Cooling Tower &amp; Corrugated Fill'!$C$13*0.1*'Cooling Tower &amp; Corrugated Fill'!$C$12)</f>
        <v/>
      </c>
      <c r="E352" s="14">
        <f>(0.24*((C352+0.4*'Cooling Tower &amp; Corrugated Fill'!$C$12))+0.62198*(0.61094*EXP(17.625*(((C352+0.4*'Cooling Tower &amp; Corrugated Fill'!$C$12))-32)/1.8/((((C352+0.4*'Cooling Tower &amp; Corrugated Fill'!$C$12))-32)/1.8+243.04)))/('Cooling Tower &amp; Corrugated Fill'!$C$14-(0.61094*EXP(17.625*(((C352+0.4*'Cooling Tower &amp; Corrugated Fill'!$C$12))-32)/1.8/((((C352+0.4*'Cooling Tower &amp; Corrugated Fill'!$C$12))-32)/1.8+243.04))))*(1061+0.444*((C352+0.4*'Cooling Tower &amp; Corrugated Fill'!$C$12))))-('Merkel Solver'!$C$4+'Cooling Tower &amp; Corrugated Fill'!$C$13*0.4*'Cooling Tower &amp; Corrugated Fill'!$C$12)</f>
        <v/>
      </c>
      <c r="F352" s="14">
        <f>(0.24*((C352+0.6*'Cooling Tower &amp; Corrugated Fill'!$C$12))+0.62198*(0.61094*EXP(17.625*(((C352+0.6*'Cooling Tower &amp; Corrugated Fill'!$C$12))-32)/1.8/((((C352+0.6*'Cooling Tower &amp; Corrugated Fill'!$C$12))-32)/1.8+243.04)))/('Cooling Tower &amp; Corrugated Fill'!$C$14-(0.61094*EXP(17.625*(((C352+0.6*'Cooling Tower &amp; Corrugated Fill'!$C$12))-32)/1.8/((((C352+0.6*'Cooling Tower &amp; Corrugated Fill'!$C$12))-32)/1.8+243.04))))*(1061+0.444*((C352+0.6*'Cooling Tower &amp; Corrugated Fill'!$C$12))))-('Merkel Solver'!$C$4+'Cooling Tower &amp; Corrugated Fill'!$C$13*0.6*'Cooling Tower &amp; Corrugated Fill'!$C$12)</f>
        <v/>
      </c>
      <c r="G352" s="14">
        <f>(0.24*((C352+0.9*'Cooling Tower &amp; Corrugated Fill'!$C$12))+0.62198*(0.61094*EXP(17.625*(((C352+0.9*'Cooling Tower &amp; Corrugated Fill'!$C$12))-32)/1.8/((((C352+0.9*'Cooling Tower &amp; Corrugated Fill'!$C$12))-32)/1.8+243.04)))/('Cooling Tower &amp; Corrugated Fill'!$C$14-(0.61094*EXP(17.625*(((C352+0.9*'Cooling Tower &amp; Corrugated Fill'!$C$12))-32)/1.8/((((C352+0.9*'Cooling Tower &amp; Corrugated Fill'!$C$12))-32)/1.8+243.04))))*(1061+0.444*((C352+0.9*'Cooling Tower &amp; Corrugated Fill'!$C$12))))-('Merkel Solver'!$C$4+'Cooling Tower &amp; Corrugated Fill'!$C$13*0.9*'Cooling Tower &amp; Corrugated Fill'!$C$12)</f>
        <v/>
      </c>
      <c r="H352" s="22">
        <f>IF(MIN(D352:G352)&lt;=0,99999,'Cooling Tower &amp; Corrugated Fill'!$C$12/4*(1/D352+1/E352+1/F352+1/G352))</f>
        <v/>
      </c>
    </row>
    <row r="353">
      <c r="B353" s="30" t="n">
        <v>34.7</v>
      </c>
      <c r="C353" s="12">
        <f>'Dashboard'!$C$9+B353</f>
        <v/>
      </c>
      <c r="D353" s="14">
        <f>(0.24*((C353+0.1*'Cooling Tower &amp; Corrugated Fill'!$C$12))+0.62198*(0.61094*EXP(17.625*(((C353+0.1*'Cooling Tower &amp; Corrugated Fill'!$C$12))-32)/1.8/((((C353+0.1*'Cooling Tower &amp; Corrugated Fill'!$C$12))-32)/1.8+243.04)))/('Cooling Tower &amp; Corrugated Fill'!$C$14-(0.61094*EXP(17.625*(((C353+0.1*'Cooling Tower &amp; Corrugated Fill'!$C$12))-32)/1.8/((((C353+0.1*'Cooling Tower &amp; Corrugated Fill'!$C$12))-32)/1.8+243.04))))*(1061+0.444*((C353+0.1*'Cooling Tower &amp; Corrugated Fill'!$C$12))))-('Merkel Solver'!$C$4+'Cooling Tower &amp; Corrugated Fill'!$C$13*0.1*'Cooling Tower &amp; Corrugated Fill'!$C$12)</f>
        <v/>
      </c>
      <c r="E353" s="14">
        <f>(0.24*((C353+0.4*'Cooling Tower &amp; Corrugated Fill'!$C$12))+0.62198*(0.61094*EXP(17.625*(((C353+0.4*'Cooling Tower &amp; Corrugated Fill'!$C$12))-32)/1.8/((((C353+0.4*'Cooling Tower &amp; Corrugated Fill'!$C$12))-32)/1.8+243.04)))/('Cooling Tower &amp; Corrugated Fill'!$C$14-(0.61094*EXP(17.625*(((C353+0.4*'Cooling Tower &amp; Corrugated Fill'!$C$12))-32)/1.8/((((C353+0.4*'Cooling Tower &amp; Corrugated Fill'!$C$12))-32)/1.8+243.04))))*(1061+0.444*((C353+0.4*'Cooling Tower &amp; Corrugated Fill'!$C$12))))-('Merkel Solver'!$C$4+'Cooling Tower &amp; Corrugated Fill'!$C$13*0.4*'Cooling Tower &amp; Corrugated Fill'!$C$12)</f>
        <v/>
      </c>
      <c r="F353" s="14">
        <f>(0.24*((C353+0.6*'Cooling Tower &amp; Corrugated Fill'!$C$12))+0.62198*(0.61094*EXP(17.625*(((C353+0.6*'Cooling Tower &amp; Corrugated Fill'!$C$12))-32)/1.8/((((C353+0.6*'Cooling Tower &amp; Corrugated Fill'!$C$12))-32)/1.8+243.04)))/('Cooling Tower &amp; Corrugated Fill'!$C$14-(0.61094*EXP(17.625*(((C353+0.6*'Cooling Tower &amp; Corrugated Fill'!$C$12))-32)/1.8/((((C353+0.6*'Cooling Tower &amp; Corrugated Fill'!$C$12))-32)/1.8+243.04))))*(1061+0.444*((C353+0.6*'Cooling Tower &amp; Corrugated Fill'!$C$12))))-('Merkel Solver'!$C$4+'Cooling Tower &amp; Corrugated Fill'!$C$13*0.6*'Cooling Tower &amp; Corrugated Fill'!$C$12)</f>
        <v/>
      </c>
      <c r="G353" s="14">
        <f>(0.24*((C353+0.9*'Cooling Tower &amp; Corrugated Fill'!$C$12))+0.62198*(0.61094*EXP(17.625*(((C353+0.9*'Cooling Tower &amp; Corrugated Fill'!$C$12))-32)/1.8/((((C353+0.9*'Cooling Tower &amp; Corrugated Fill'!$C$12))-32)/1.8+243.04)))/('Cooling Tower &amp; Corrugated Fill'!$C$14-(0.61094*EXP(17.625*(((C353+0.9*'Cooling Tower &amp; Corrugated Fill'!$C$12))-32)/1.8/((((C353+0.9*'Cooling Tower &amp; Corrugated Fill'!$C$12))-32)/1.8+243.04))))*(1061+0.444*((C353+0.9*'Cooling Tower &amp; Corrugated Fill'!$C$12))))-('Merkel Solver'!$C$4+'Cooling Tower &amp; Corrugated Fill'!$C$13*0.9*'Cooling Tower &amp; Corrugated Fill'!$C$12)</f>
        <v/>
      </c>
      <c r="H353" s="22">
        <f>IF(MIN(D353:G353)&lt;=0,99999,'Cooling Tower &amp; Corrugated Fill'!$C$12/4*(1/D353+1/E353+1/F353+1/G353))</f>
        <v/>
      </c>
    </row>
    <row r="354">
      <c r="B354" s="30" t="n">
        <v>34.8</v>
      </c>
      <c r="C354" s="12">
        <f>'Dashboard'!$C$9+B354</f>
        <v/>
      </c>
      <c r="D354" s="14">
        <f>(0.24*((C354+0.1*'Cooling Tower &amp; Corrugated Fill'!$C$12))+0.62198*(0.61094*EXP(17.625*(((C354+0.1*'Cooling Tower &amp; Corrugated Fill'!$C$12))-32)/1.8/((((C354+0.1*'Cooling Tower &amp; Corrugated Fill'!$C$12))-32)/1.8+243.04)))/('Cooling Tower &amp; Corrugated Fill'!$C$14-(0.61094*EXP(17.625*(((C354+0.1*'Cooling Tower &amp; Corrugated Fill'!$C$12))-32)/1.8/((((C354+0.1*'Cooling Tower &amp; Corrugated Fill'!$C$12))-32)/1.8+243.04))))*(1061+0.444*((C354+0.1*'Cooling Tower &amp; Corrugated Fill'!$C$12))))-('Merkel Solver'!$C$4+'Cooling Tower &amp; Corrugated Fill'!$C$13*0.1*'Cooling Tower &amp; Corrugated Fill'!$C$12)</f>
        <v/>
      </c>
      <c r="E354" s="14">
        <f>(0.24*((C354+0.4*'Cooling Tower &amp; Corrugated Fill'!$C$12))+0.62198*(0.61094*EXP(17.625*(((C354+0.4*'Cooling Tower &amp; Corrugated Fill'!$C$12))-32)/1.8/((((C354+0.4*'Cooling Tower &amp; Corrugated Fill'!$C$12))-32)/1.8+243.04)))/('Cooling Tower &amp; Corrugated Fill'!$C$14-(0.61094*EXP(17.625*(((C354+0.4*'Cooling Tower &amp; Corrugated Fill'!$C$12))-32)/1.8/((((C354+0.4*'Cooling Tower &amp; Corrugated Fill'!$C$12))-32)/1.8+243.04))))*(1061+0.444*((C354+0.4*'Cooling Tower &amp; Corrugated Fill'!$C$12))))-('Merkel Solver'!$C$4+'Cooling Tower &amp; Corrugated Fill'!$C$13*0.4*'Cooling Tower &amp; Corrugated Fill'!$C$12)</f>
        <v/>
      </c>
      <c r="F354" s="14">
        <f>(0.24*((C354+0.6*'Cooling Tower &amp; Corrugated Fill'!$C$12))+0.62198*(0.61094*EXP(17.625*(((C354+0.6*'Cooling Tower &amp; Corrugated Fill'!$C$12))-32)/1.8/((((C354+0.6*'Cooling Tower &amp; Corrugated Fill'!$C$12))-32)/1.8+243.04)))/('Cooling Tower &amp; Corrugated Fill'!$C$14-(0.61094*EXP(17.625*(((C354+0.6*'Cooling Tower &amp; Corrugated Fill'!$C$12))-32)/1.8/((((C354+0.6*'Cooling Tower &amp; Corrugated Fill'!$C$12))-32)/1.8+243.04))))*(1061+0.444*((C354+0.6*'Cooling Tower &amp; Corrugated Fill'!$C$12))))-('Merkel Solver'!$C$4+'Cooling Tower &amp; Corrugated Fill'!$C$13*0.6*'Cooling Tower &amp; Corrugated Fill'!$C$12)</f>
        <v/>
      </c>
      <c r="G354" s="14">
        <f>(0.24*((C354+0.9*'Cooling Tower &amp; Corrugated Fill'!$C$12))+0.62198*(0.61094*EXP(17.625*(((C354+0.9*'Cooling Tower &amp; Corrugated Fill'!$C$12))-32)/1.8/((((C354+0.9*'Cooling Tower &amp; Corrugated Fill'!$C$12))-32)/1.8+243.04)))/('Cooling Tower &amp; Corrugated Fill'!$C$14-(0.61094*EXP(17.625*(((C354+0.9*'Cooling Tower &amp; Corrugated Fill'!$C$12))-32)/1.8/((((C354+0.9*'Cooling Tower &amp; Corrugated Fill'!$C$12))-32)/1.8+243.04))))*(1061+0.444*((C354+0.9*'Cooling Tower &amp; Corrugated Fill'!$C$12))))-('Merkel Solver'!$C$4+'Cooling Tower &amp; Corrugated Fill'!$C$13*0.9*'Cooling Tower &amp; Corrugated Fill'!$C$12)</f>
        <v/>
      </c>
      <c r="H354" s="22">
        <f>IF(MIN(D354:G354)&lt;=0,99999,'Cooling Tower &amp; Corrugated Fill'!$C$12/4*(1/D354+1/E354+1/F354+1/G354))</f>
        <v/>
      </c>
    </row>
    <row r="355">
      <c r="B355" s="30" t="n">
        <v>34.9</v>
      </c>
      <c r="C355" s="12">
        <f>'Dashboard'!$C$9+B355</f>
        <v/>
      </c>
      <c r="D355" s="14">
        <f>(0.24*((C355+0.1*'Cooling Tower &amp; Corrugated Fill'!$C$12))+0.62198*(0.61094*EXP(17.625*(((C355+0.1*'Cooling Tower &amp; Corrugated Fill'!$C$12))-32)/1.8/((((C355+0.1*'Cooling Tower &amp; Corrugated Fill'!$C$12))-32)/1.8+243.04)))/('Cooling Tower &amp; Corrugated Fill'!$C$14-(0.61094*EXP(17.625*(((C355+0.1*'Cooling Tower &amp; Corrugated Fill'!$C$12))-32)/1.8/((((C355+0.1*'Cooling Tower &amp; Corrugated Fill'!$C$12))-32)/1.8+243.04))))*(1061+0.444*((C355+0.1*'Cooling Tower &amp; Corrugated Fill'!$C$12))))-('Merkel Solver'!$C$4+'Cooling Tower &amp; Corrugated Fill'!$C$13*0.1*'Cooling Tower &amp; Corrugated Fill'!$C$12)</f>
        <v/>
      </c>
      <c r="E355" s="14">
        <f>(0.24*((C355+0.4*'Cooling Tower &amp; Corrugated Fill'!$C$12))+0.62198*(0.61094*EXP(17.625*(((C355+0.4*'Cooling Tower &amp; Corrugated Fill'!$C$12))-32)/1.8/((((C355+0.4*'Cooling Tower &amp; Corrugated Fill'!$C$12))-32)/1.8+243.04)))/('Cooling Tower &amp; Corrugated Fill'!$C$14-(0.61094*EXP(17.625*(((C355+0.4*'Cooling Tower &amp; Corrugated Fill'!$C$12))-32)/1.8/((((C355+0.4*'Cooling Tower &amp; Corrugated Fill'!$C$12))-32)/1.8+243.04))))*(1061+0.444*((C355+0.4*'Cooling Tower &amp; Corrugated Fill'!$C$12))))-('Merkel Solver'!$C$4+'Cooling Tower &amp; Corrugated Fill'!$C$13*0.4*'Cooling Tower &amp; Corrugated Fill'!$C$12)</f>
        <v/>
      </c>
      <c r="F355" s="14">
        <f>(0.24*((C355+0.6*'Cooling Tower &amp; Corrugated Fill'!$C$12))+0.62198*(0.61094*EXP(17.625*(((C355+0.6*'Cooling Tower &amp; Corrugated Fill'!$C$12))-32)/1.8/((((C355+0.6*'Cooling Tower &amp; Corrugated Fill'!$C$12))-32)/1.8+243.04)))/('Cooling Tower &amp; Corrugated Fill'!$C$14-(0.61094*EXP(17.625*(((C355+0.6*'Cooling Tower &amp; Corrugated Fill'!$C$12))-32)/1.8/((((C355+0.6*'Cooling Tower &amp; Corrugated Fill'!$C$12))-32)/1.8+243.04))))*(1061+0.444*((C355+0.6*'Cooling Tower &amp; Corrugated Fill'!$C$12))))-('Merkel Solver'!$C$4+'Cooling Tower &amp; Corrugated Fill'!$C$13*0.6*'Cooling Tower &amp; Corrugated Fill'!$C$12)</f>
        <v/>
      </c>
      <c r="G355" s="14">
        <f>(0.24*((C355+0.9*'Cooling Tower &amp; Corrugated Fill'!$C$12))+0.62198*(0.61094*EXP(17.625*(((C355+0.9*'Cooling Tower &amp; Corrugated Fill'!$C$12))-32)/1.8/((((C355+0.9*'Cooling Tower &amp; Corrugated Fill'!$C$12))-32)/1.8+243.04)))/('Cooling Tower &amp; Corrugated Fill'!$C$14-(0.61094*EXP(17.625*(((C355+0.9*'Cooling Tower &amp; Corrugated Fill'!$C$12))-32)/1.8/((((C355+0.9*'Cooling Tower &amp; Corrugated Fill'!$C$12))-32)/1.8+243.04))))*(1061+0.444*((C355+0.9*'Cooling Tower &amp; Corrugated Fill'!$C$12))))-('Merkel Solver'!$C$4+'Cooling Tower &amp; Corrugated Fill'!$C$13*0.9*'Cooling Tower &amp; Corrugated Fill'!$C$12)</f>
        <v/>
      </c>
      <c r="H355" s="22">
        <f>IF(MIN(D355:G355)&lt;=0,99999,'Cooling Tower &amp; Corrugated Fill'!$C$12/4*(1/D355+1/E355+1/F355+1/G355))</f>
        <v/>
      </c>
    </row>
    <row r="356">
      <c r="B356" s="30" t="n">
        <v>35</v>
      </c>
      <c r="C356" s="12">
        <f>'Dashboard'!$C$9+B356</f>
        <v/>
      </c>
      <c r="D356" s="14">
        <f>(0.24*((C356+0.1*'Cooling Tower &amp; Corrugated Fill'!$C$12))+0.62198*(0.61094*EXP(17.625*(((C356+0.1*'Cooling Tower &amp; Corrugated Fill'!$C$12))-32)/1.8/((((C356+0.1*'Cooling Tower &amp; Corrugated Fill'!$C$12))-32)/1.8+243.04)))/('Cooling Tower &amp; Corrugated Fill'!$C$14-(0.61094*EXP(17.625*(((C356+0.1*'Cooling Tower &amp; Corrugated Fill'!$C$12))-32)/1.8/((((C356+0.1*'Cooling Tower &amp; Corrugated Fill'!$C$12))-32)/1.8+243.04))))*(1061+0.444*((C356+0.1*'Cooling Tower &amp; Corrugated Fill'!$C$12))))-('Merkel Solver'!$C$4+'Cooling Tower &amp; Corrugated Fill'!$C$13*0.1*'Cooling Tower &amp; Corrugated Fill'!$C$12)</f>
        <v/>
      </c>
      <c r="E356" s="14">
        <f>(0.24*((C356+0.4*'Cooling Tower &amp; Corrugated Fill'!$C$12))+0.62198*(0.61094*EXP(17.625*(((C356+0.4*'Cooling Tower &amp; Corrugated Fill'!$C$12))-32)/1.8/((((C356+0.4*'Cooling Tower &amp; Corrugated Fill'!$C$12))-32)/1.8+243.04)))/('Cooling Tower &amp; Corrugated Fill'!$C$14-(0.61094*EXP(17.625*(((C356+0.4*'Cooling Tower &amp; Corrugated Fill'!$C$12))-32)/1.8/((((C356+0.4*'Cooling Tower &amp; Corrugated Fill'!$C$12))-32)/1.8+243.04))))*(1061+0.444*((C356+0.4*'Cooling Tower &amp; Corrugated Fill'!$C$12))))-('Merkel Solver'!$C$4+'Cooling Tower &amp; Corrugated Fill'!$C$13*0.4*'Cooling Tower &amp; Corrugated Fill'!$C$12)</f>
        <v/>
      </c>
      <c r="F356" s="14">
        <f>(0.24*((C356+0.6*'Cooling Tower &amp; Corrugated Fill'!$C$12))+0.62198*(0.61094*EXP(17.625*(((C356+0.6*'Cooling Tower &amp; Corrugated Fill'!$C$12))-32)/1.8/((((C356+0.6*'Cooling Tower &amp; Corrugated Fill'!$C$12))-32)/1.8+243.04)))/('Cooling Tower &amp; Corrugated Fill'!$C$14-(0.61094*EXP(17.625*(((C356+0.6*'Cooling Tower &amp; Corrugated Fill'!$C$12))-32)/1.8/((((C356+0.6*'Cooling Tower &amp; Corrugated Fill'!$C$12))-32)/1.8+243.04))))*(1061+0.444*((C356+0.6*'Cooling Tower &amp; Corrugated Fill'!$C$12))))-('Merkel Solver'!$C$4+'Cooling Tower &amp; Corrugated Fill'!$C$13*0.6*'Cooling Tower &amp; Corrugated Fill'!$C$12)</f>
        <v/>
      </c>
      <c r="G356" s="14">
        <f>(0.24*((C356+0.9*'Cooling Tower &amp; Corrugated Fill'!$C$12))+0.62198*(0.61094*EXP(17.625*(((C356+0.9*'Cooling Tower &amp; Corrugated Fill'!$C$12))-32)/1.8/((((C356+0.9*'Cooling Tower &amp; Corrugated Fill'!$C$12))-32)/1.8+243.04)))/('Cooling Tower &amp; Corrugated Fill'!$C$14-(0.61094*EXP(17.625*(((C356+0.9*'Cooling Tower &amp; Corrugated Fill'!$C$12))-32)/1.8/((((C356+0.9*'Cooling Tower &amp; Corrugated Fill'!$C$12))-32)/1.8+243.04))))*(1061+0.444*((C356+0.9*'Cooling Tower &amp; Corrugated Fill'!$C$12))))-('Merkel Solver'!$C$4+'Cooling Tower &amp; Corrugated Fill'!$C$13*0.9*'Cooling Tower &amp; Corrugated Fill'!$C$12)</f>
        <v/>
      </c>
      <c r="H356" s="22">
        <f>IF(MIN(D356:G356)&lt;=0,99999,'Cooling Tower &amp; Corrugated Fill'!$C$12/4*(1/D356+1/E356+1/F356+1/G356))</f>
        <v/>
      </c>
    </row>
    <row r="357">
      <c r="B357" s="30" t="n">
        <v>35.1</v>
      </c>
      <c r="C357" s="12">
        <f>'Dashboard'!$C$9+B357</f>
        <v/>
      </c>
      <c r="D357" s="14">
        <f>(0.24*((C357+0.1*'Cooling Tower &amp; Corrugated Fill'!$C$12))+0.62198*(0.61094*EXP(17.625*(((C357+0.1*'Cooling Tower &amp; Corrugated Fill'!$C$12))-32)/1.8/((((C357+0.1*'Cooling Tower &amp; Corrugated Fill'!$C$12))-32)/1.8+243.04)))/('Cooling Tower &amp; Corrugated Fill'!$C$14-(0.61094*EXP(17.625*(((C357+0.1*'Cooling Tower &amp; Corrugated Fill'!$C$12))-32)/1.8/((((C357+0.1*'Cooling Tower &amp; Corrugated Fill'!$C$12))-32)/1.8+243.04))))*(1061+0.444*((C357+0.1*'Cooling Tower &amp; Corrugated Fill'!$C$12))))-('Merkel Solver'!$C$4+'Cooling Tower &amp; Corrugated Fill'!$C$13*0.1*'Cooling Tower &amp; Corrugated Fill'!$C$12)</f>
        <v/>
      </c>
      <c r="E357" s="14">
        <f>(0.24*((C357+0.4*'Cooling Tower &amp; Corrugated Fill'!$C$12))+0.62198*(0.61094*EXP(17.625*(((C357+0.4*'Cooling Tower &amp; Corrugated Fill'!$C$12))-32)/1.8/((((C357+0.4*'Cooling Tower &amp; Corrugated Fill'!$C$12))-32)/1.8+243.04)))/('Cooling Tower &amp; Corrugated Fill'!$C$14-(0.61094*EXP(17.625*(((C357+0.4*'Cooling Tower &amp; Corrugated Fill'!$C$12))-32)/1.8/((((C357+0.4*'Cooling Tower &amp; Corrugated Fill'!$C$12))-32)/1.8+243.04))))*(1061+0.444*((C357+0.4*'Cooling Tower &amp; Corrugated Fill'!$C$12))))-('Merkel Solver'!$C$4+'Cooling Tower &amp; Corrugated Fill'!$C$13*0.4*'Cooling Tower &amp; Corrugated Fill'!$C$12)</f>
        <v/>
      </c>
      <c r="F357" s="14">
        <f>(0.24*((C357+0.6*'Cooling Tower &amp; Corrugated Fill'!$C$12))+0.62198*(0.61094*EXP(17.625*(((C357+0.6*'Cooling Tower &amp; Corrugated Fill'!$C$12))-32)/1.8/((((C357+0.6*'Cooling Tower &amp; Corrugated Fill'!$C$12))-32)/1.8+243.04)))/('Cooling Tower &amp; Corrugated Fill'!$C$14-(0.61094*EXP(17.625*(((C357+0.6*'Cooling Tower &amp; Corrugated Fill'!$C$12))-32)/1.8/((((C357+0.6*'Cooling Tower &amp; Corrugated Fill'!$C$12))-32)/1.8+243.04))))*(1061+0.444*((C357+0.6*'Cooling Tower &amp; Corrugated Fill'!$C$12))))-('Merkel Solver'!$C$4+'Cooling Tower &amp; Corrugated Fill'!$C$13*0.6*'Cooling Tower &amp; Corrugated Fill'!$C$12)</f>
        <v/>
      </c>
      <c r="G357" s="14">
        <f>(0.24*((C357+0.9*'Cooling Tower &amp; Corrugated Fill'!$C$12))+0.62198*(0.61094*EXP(17.625*(((C357+0.9*'Cooling Tower &amp; Corrugated Fill'!$C$12))-32)/1.8/((((C357+0.9*'Cooling Tower &amp; Corrugated Fill'!$C$12))-32)/1.8+243.04)))/('Cooling Tower &amp; Corrugated Fill'!$C$14-(0.61094*EXP(17.625*(((C357+0.9*'Cooling Tower &amp; Corrugated Fill'!$C$12))-32)/1.8/((((C357+0.9*'Cooling Tower &amp; Corrugated Fill'!$C$12))-32)/1.8+243.04))))*(1061+0.444*((C357+0.9*'Cooling Tower &amp; Corrugated Fill'!$C$12))))-('Merkel Solver'!$C$4+'Cooling Tower &amp; Corrugated Fill'!$C$13*0.9*'Cooling Tower &amp; Corrugated Fill'!$C$12)</f>
        <v/>
      </c>
      <c r="H357" s="22">
        <f>IF(MIN(D357:G357)&lt;=0,99999,'Cooling Tower &amp; Corrugated Fill'!$C$12/4*(1/D357+1/E357+1/F357+1/G357))</f>
        <v/>
      </c>
    </row>
    <row r="358">
      <c r="B358" s="30" t="n">
        <v>35.2</v>
      </c>
      <c r="C358" s="12">
        <f>'Dashboard'!$C$9+B358</f>
        <v/>
      </c>
      <c r="D358" s="14">
        <f>(0.24*((C358+0.1*'Cooling Tower &amp; Corrugated Fill'!$C$12))+0.62198*(0.61094*EXP(17.625*(((C358+0.1*'Cooling Tower &amp; Corrugated Fill'!$C$12))-32)/1.8/((((C358+0.1*'Cooling Tower &amp; Corrugated Fill'!$C$12))-32)/1.8+243.04)))/('Cooling Tower &amp; Corrugated Fill'!$C$14-(0.61094*EXP(17.625*(((C358+0.1*'Cooling Tower &amp; Corrugated Fill'!$C$12))-32)/1.8/((((C358+0.1*'Cooling Tower &amp; Corrugated Fill'!$C$12))-32)/1.8+243.04))))*(1061+0.444*((C358+0.1*'Cooling Tower &amp; Corrugated Fill'!$C$12))))-('Merkel Solver'!$C$4+'Cooling Tower &amp; Corrugated Fill'!$C$13*0.1*'Cooling Tower &amp; Corrugated Fill'!$C$12)</f>
        <v/>
      </c>
      <c r="E358" s="14">
        <f>(0.24*((C358+0.4*'Cooling Tower &amp; Corrugated Fill'!$C$12))+0.62198*(0.61094*EXP(17.625*(((C358+0.4*'Cooling Tower &amp; Corrugated Fill'!$C$12))-32)/1.8/((((C358+0.4*'Cooling Tower &amp; Corrugated Fill'!$C$12))-32)/1.8+243.04)))/('Cooling Tower &amp; Corrugated Fill'!$C$14-(0.61094*EXP(17.625*(((C358+0.4*'Cooling Tower &amp; Corrugated Fill'!$C$12))-32)/1.8/((((C358+0.4*'Cooling Tower &amp; Corrugated Fill'!$C$12))-32)/1.8+243.04))))*(1061+0.444*((C358+0.4*'Cooling Tower &amp; Corrugated Fill'!$C$12))))-('Merkel Solver'!$C$4+'Cooling Tower &amp; Corrugated Fill'!$C$13*0.4*'Cooling Tower &amp; Corrugated Fill'!$C$12)</f>
        <v/>
      </c>
      <c r="F358" s="14">
        <f>(0.24*((C358+0.6*'Cooling Tower &amp; Corrugated Fill'!$C$12))+0.62198*(0.61094*EXP(17.625*(((C358+0.6*'Cooling Tower &amp; Corrugated Fill'!$C$12))-32)/1.8/((((C358+0.6*'Cooling Tower &amp; Corrugated Fill'!$C$12))-32)/1.8+243.04)))/('Cooling Tower &amp; Corrugated Fill'!$C$14-(0.61094*EXP(17.625*(((C358+0.6*'Cooling Tower &amp; Corrugated Fill'!$C$12))-32)/1.8/((((C358+0.6*'Cooling Tower &amp; Corrugated Fill'!$C$12))-32)/1.8+243.04))))*(1061+0.444*((C358+0.6*'Cooling Tower &amp; Corrugated Fill'!$C$12))))-('Merkel Solver'!$C$4+'Cooling Tower &amp; Corrugated Fill'!$C$13*0.6*'Cooling Tower &amp; Corrugated Fill'!$C$12)</f>
        <v/>
      </c>
      <c r="G358" s="14">
        <f>(0.24*((C358+0.9*'Cooling Tower &amp; Corrugated Fill'!$C$12))+0.62198*(0.61094*EXP(17.625*(((C358+0.9*'Cooling Tower &amp; Corrugated Fill'!$C$12))-32)/1.8/((((C358+0.9*'Cooling Tower &amp; Corrugated Fill'!$C$12))-32)/1.8+243.04)))/('Cooling Tower &amp; Corrugated Fill'!$C$14-(0.61094*EXP(17.625*(((C358+0.9*'Cooling Tower &amp; Corrugated Fill'!$C$12))-32)/1.8/((((C358+0.9*'Cooling Tower &amp; Corrugated Fill'!$C$12))-32)/1.8+243.04))))*(1061+0.444*((C358+0.9*'Cooling Tower &amp; Corrugated Fill'!$C$12))))-('Merkel Solver'!$C$4+'Cooling Tower &amp; Corrugated Fill'!$C$13*0.9*'Cooling Tower &amp; Corrugated Fill'!$C$12)</f>
        <v/>
      </c>
      <c r="H358" s="22">
        <f>IF(MIN(D358:G358)&lt;=0,99999,'Cooling Tower &amp; Corrugated Fill'!$C$12/4*(1/D358+1/E358+1/F358+1/G358))</f>
        <v/>
      </c>
    </row>
    <row r="359">
      <c r="B359" s="30" t="n">
        <v>35.3</v>
      </c>
      <c r="C359" s="12">
        <f>'Dashboard'!$C$9+B359</f>
        <v/>
      </c>
      <c r="D359" s="14">
        <f>(0.24*((C359+0.1*'Cooling Tower &amp; Corrugated Fill'!$C$12))+0.62198*(0.61094*EXP(17.625*(((C359+0.1*'Cooling Tower &amp; Corrugated Fill'!$C$12))-32)/1.8/((((C359+0.1*'Cooling Tower &amp; Corrugated Fill'!$C$12))-32)/1.8+243.04)))/('Cooling Tower &amp; Corrugated Fill'!$C$14-(0.61094*EXP(17.625*(((C359+0.1*'Cooling Tower &amp; Corrugated Fill'!$C$12))-32)/1.8/((((C359+0.1*'Cooling Tower &amp; Corrugated Fill'!$C$12))-32)/1.8+243.04))))*(1061+0.444*((C359+0.1*'Cooling Tower &amp; Corrugated Fill'!$C$12))))-('Merkel Solver'!$C$4+'Cooling Tower &amp; Corrugated Fill'!$C$13*0.1*'Cooling Tower &amp; Corrugated Fill'!$C$12)</f>
        <v/>
      </c>
      <c r="E359" s="14">
        <f>(0.24*((C359+0.4*'Cooling Tower &amp; Corrugated Fill'!$C$12))+0.62198*(0.61094*EXP(17.625*(((C359+0.4*'Cooling Tower &amp; Corrugated Fill'!$C$12))-32)/1.8/((((C359+0.4*'Cooling Tower &amp; Corrugated Fill'!$C$12))-32)/1.8+243.04)))/('Cooling Tower &amp; Corrugated Fill'!$C$14-(0.61094*EXP(17.625*(((C359+0.4*'Cooling Tower &amp; Corrugated Fill'!$C$12))-32)/1.8/((((C359+0.4*'Cooling Tower &amp; Corrugated Fill'!$C$12))-32)/1.8+243.04))))*(1061+0.444*((C359+0.4*'Cooling Tower &amp; Corrugated Fill'!$C$12))))-('Merkel Solver'!$C$4+'Cooling Tower &amp; Corrugated Fill'!$C$13*0.4*'Cooling Tower &amp; Corrugated Fill'!$C$12)</f>
        <v/>
      </c>
      <c r="F359" s="14">
        <f>(0.24*((C359+0.6*'Cooling Tower &amp; Corrugated Fill'!$C$12))+0.62198*(0.61094*EXP(17.625*(((C359+0.6*'Cooling Tower &amp; Corrugated Fill'!$C$12))-32)/1.8/((((C359+0.6*'Cooling Tower &amp; Corrugated Fill'!$C$12))-32)/1.8+243.04)))/('Cooling Tower &amp; Corrugated Fill'!$C$14-(0.61094*EXP(17.625*(((C359+0.6*'Cooling Tower &amp; Corrugated Fill'!$C$12))-32)/1.8/((((C359+0.6*'Cooling Tower &amp; Corrugated Fill'!$C$12))-32)/1.8+243.04))))*(1061+0.444*((C359+0.6*'Cooling Tower &amp; Corrugated Fill'!$C$12))))-('Merkel Solver'!$C$4+'Cooling Tower &amp; Corrugated Fill'!$C$13*0.6*'Cooling Tower &amp; Corrugated Fill'!$C$12)</f>
        <v/>
      </c>
      <c r="G359" s="14">
        <f>(0.24*((C359+0.9*'Cooling Tower &amp; Corrugated Fill'!$C$12))+0.62198*(0.61094*EXP(17.625*(((C359+0.9*'Cooling Tower &amp; Corrugated Fill'!$C$12))-32)/1.8/((((C359+0.9*'Cooling Tower &amp; Corrugated Fill'!$C$12))-32)/1.8+243.04)))/('Cooling Tower &amp; Corrugated Fill'!$C$14-(0.61094*EXP(17.625*(((C359+0.9*'Cooling Tower &amp; Corrugated Fill'!$C$12))-32)/1.8/((((C359+0.9*'Cooling Tower &amp; Corrugated Fill'!$C$12))-32)/1.8+243.04))))*(1061+0.444*((C359+0.9*'Cooling Tower &amp; Corrugated Fill'!$C$12))))-('Merkel Solver'!$C$4+'Cooling Tower &amp; Corrugated Fill'!$C$13*0.9*'Cooling Tower &amp; Corrugated Fill'!$C$12)</f>
        <v/>
      </c>
      <c r="H359" s="22">
        <f>IF(MIN(D359:G359)&lt;=0,99999,'Cooling Tower &amp; Corrugated Fill'!$C$12/4*(1/D359+1/E359+1/F359+1/G359))</f>
        <v/>
      </c>
    </row>
    <row r="360">
      <c r="B360" s="30" t="n">
        <v>35.4</v>
      </c>
      <c r="C360" s="12">
        <f>'Dashboard'!$C$9+B360</f>
        <v/>
      </c>
      <c r="D360" s="14">
        <f>(0.24*((C360+0.1*'Cooling Tower &amp; Corrugated Fill'!$C$12))+0.62198*(0.61094*EXP(17.625*(((C360+0.1*'Cooling Tower &amp; Corrugated Fill'!$C$12))-32)/1.8/((((C360+0.1*'Cooling Tower &amp; Corrugated Fill'!$C$12))-32)/1.8+243.04)))/('Cooling Tower &amp; Corrugated Fill'!$C$14-(0.61094*EXP(17.625*(((C360+0.1*'Cooling Tower &amp; Corrugated Fill'!$C$12))-32)/1.8/((((C360+0.1*'Cooling Tower &amp; Corrugated Fill'!$C$12))-32)/1.8+243.04))))*(1061+0.444*((C360+0.1*'Cooling Tower &amp; Corrugated Fill'!$C$12))))-('Merkel Solver'!$C$4+'Cooling Tower &amp; Corrugated Fill'!$C$13*0.1*'Cooling Tower &amp; Corrugated Fill'!$C$12)</f>
        <v/>
      </c>
      <c r="E360" s="14">
        <f>(0.24*((C360+0.4*'Cooling Tower &amp; Corrugated Fill'!$C$12))+0.62198*(0.61094*EXP(17.625*(((C360+0.4*'Cooling Tower &amp; Corrugated Fill'!$C$12))-32)/1.8/((((C360+0.4*'Cooling Tower &amp; Corrugated Fill'!$C$12))-32)/1.8+243.04)))/('Cooling Tower &amp; Corrugated Fill'!$C$14-(0.61094*EXP(17.625*(((C360+0.4*'Cooling Tower &amp; Corrugated Fill'!$C$12))-32)/1.8/((((C360+0.4*'Cooling Tower &amp; Corrugated Fill'!$C$12))-32)/1.8+243.04))))*(1061+0.444*((C360+0.4*'Cooling Tower &amp; Corrugated Fill'!$C$12))))-('Merkel Solver'!$C$4+'Cooling Tower &amp; Corrugated Fill'!$C$13*0.4*'Cooling Tower &amp; Corrugated Fill'!$C$12)</f>
        <v/>
      </c>
      <c r="F360" s="14">
        <f>(0.24*((C360+0.6*'Cooling Tower &amp; Corrugated Fill'!$C$12))+0.62198*(0.61094*EXP(17.625*(((C360+0.6*'Cooling Tower &amp; Corrugated Fill'!$C$12))-32)/1.8/((((C360+0.6*'Cooling Tower &amp; Corrugated Fill'!$C$12))-32)/1.8+243.04)))/('Cooling Tower &amp; Corrugated Fill'!$C$14-(0.61094*EXP(17.625*(((C360+0.6*'Cooling Tower &amp; Corrugated Fill'!$C$12))-32)/1.8/((((C360+0.6*'Cooling Tower &amp; Corrugated Fill'!$C$12))-32)/1.8+243.04))))*(1061+0.444*((C360+0.6*'Cooling Tower &amp; Corrugated Fill'!$C$12))))-('Merkel Solver'!$C$4+'Cooling Tower &amp; Corrugated Fill'!$C$13*0.6*'Cooling Tower &amp; Corrugated Fill'!$C$12)</f>
        <v/>
      </c>
      <c r="G360" s="14">
        <f>(0.24*((C360+0.9*'Cooling Tower &amp; Corrugated Fill'!$C$12))+0.62198*(0.61094*EXP(17.625*(((C360+0.9*'Cooling Tower &amp; Corrugated Fill'!$C$12))-32)/1.8/((((C360+0.9*'Cooling Tower &amp; Corrugated Fill'!$C$12))-32)/1.8+243.04)))/('Cooling Tower &amp; Corrugated Fill'!$C$14-(0.61094*EXP(17.625*(((C360+0.9*'Cooling Tower &amp; Corrugated Fill'!$C$12))-32)/1.8/((((C360+0.9*'Cooling Tower &amp; Corrugated Fill'!$C$12))-32)/1.8+243.04))))*(1061+0.444*((C360+0.9*'Cooling Tower &amp; Corrugated Fill'!$C$12))))-('Merkel Solver'!$C$4+'Cooling Tower &amp; Corrugated Fill'!$C$13*0.9*'Cooling Tower &amp; Corrugated Fill'!$C$12)</f>
        <v/>
      </c>
      <c r="H360" s="22">
        <f>IF(MIN(D360:G360)&lt;=0,99999,'Cooling Tower &amp; Corrugated Fill'!$C$12/4*(1/D360+1/E360+1/F360+1/G360))</f>
        <v/>
      </c>
    </row>
    <row r="361">
      <c r="B361" s="30" t="n">
        <v>35.5</v>
      </c>
      <c r="C361" s="12">
        <f>'Dashboard'!$C$9+B361</f>
        <v/>
      </c>
      <c r="D361" s="14">
        <f>(0.24*((C361+0.1*'Cooling Tower &amp; Corrugated Fill'!$C$12))+0.62198*(0.61094*EXP(17.625*(((C361+0.1*'Cooling Tower &amp; Corrugated Fill'!$C$12))-32)/1.8/((((C361+0.1*'Cooling Tower &amp; Corrugated Fill'!$C$12))-32)/1.8+243.04)))/('Cooling Tower &amp; Corrugated Fill'!$C$14-(0.61094*EXP(17.625*(((C361+0.1*'Cooling Tower &amp; Corrugated Fill'!$C$12))-32)/1.8/((((C361+0.1*'Cooling Tower &amp; Corrugated Fill'!$C$12))-32)/1.8+243.04))))*(1061+0.444*((C361+0.1*'Cooling Tower &amp; Corrugated Fill'!$C$12))))-('Merkel Solver'!$C$4+'Cooling Tower &amp; Corrugated Fill'!$C$13*0.1*'Cooling Tower &amp; Corrugated Fill'!$C$12)</f>
        <v/>
      </c>
      <c r="E361" s="14">
        <f>(0.24*((C361+0.4*'Cooling Tower &amp; Corrugated Fill'!$C$12))+0.62198*(0.61094*EXP(17.625*(((C361+0.4*'Cooling Tower &amp; Corrugated Fill'!$C$12))-32)/1.8/((((C361+0.4*'Cooling Tower &amp; Corrugated Fill'!$C$12))-32)/1.8+243.04)))/('Cooling Tower &amp; Corrugated Fill'!$C$14-(0.61094*EXP(17.625*(((C361+0.4*'Cooling Tower &amp; Corrugated Fill'!$C$12))-32)/1.8/((((C361+0.4*'Cooling Tower &amp; Corrugated Fill'!$C$12))-32)/1.8+243.04))))*(1061+0.444*((C361+0.4*'Cooling Tower &amp; Corrugated Fill'!$C$12))))-('Merkel Solver'!$C$4+'Cooling Tower &amp; Corrugated Fill'!$C$13*0.4*'Cooling Tower &amp; Corrugated Fill'!$C$12)</f>
        <v/>
      </c>
      <c r="F361" s="14">
        <f>(0.24*((C361+0.6*'Cooling Tower &amp; Corrugated Fill'!$C$12))+0.62198*(0.61094*EXP(17.625*(((C361+0.6*'Cooling Tower &amp; Corrugated Fill'!$C$12))-32)/1.8/((((C361+0.6*'Cooling Tower &amp; Corrugated Fill'!$C$12))-32)/1.8+243.04)))/('Cooling Tower &amp; Corrugated Fill'!$C$14-(0.61094*EXP(17.625*(((C361+0.6*'Cooling Tower &amp; Corrugated Fill'!$C$12))-32)/1.8/((((C361+0.6*'Cooling Tower &amp; Corrugated Fill'!$C$12))-32)/1.8+243.04))))*(1061+0.444*((C361+0.6*'Cooling Tower &amp; Corrugated Fill'!$C$12))))-('Merkel Solver'!$C$4+'Cooling Tower &amp; Corrugated Fill'!$C$13*0.6*'Cooling Tower &amp; Corrugated Fill'!$C$12)</f>
        <v/>
      </c>
      <c r="G361" s="14">
        <f>(0.24*((C361+0.9*'Cooling Tower &amp; Corrugated Fill'!$C$12))+0.62198*(0.61094*EXP(17.625*(((C361+0.9*'Cooling Tower &amp; Corrugated Fill'!$C$12))-32)/1.8/((((C361+0.9*'Cooling Tower &amp; Corrugated Fill'!$C$12))-32)/1.8+243.04)))/('Cooling Tower &amp; Corrugated Fill'!$C$14-(0.61094*EXP(17.625*(((C361+0.9*'Cooling Tower &amp; Corrugated Fill'!$C$12))-32)/1.8/((((C361+0.9*'Cooling Tower &amp; Corrugated Fill'!$C$12))-32)/1.8+243.04))))*(1061+0.444*((C361+0.9*'Cooling Tower &amp; Corrugated Fill'!$C$12))))-('Merkel Solver'!$C$4+'Cooling Tower &amp; Corrugated Fill'!$C$13*0.9*'Cooling Tower &amp; Corrugated Fill'!$C$12)</f>
        <v/>
      </c>
      <c r="H361" s="22">
        <f>IF(MIN(D361:G361)&lt;=0,99999,'Cooling Tower &amp; Corrugated Fill'!$C$12/4*(1/D361+1/E361+1/F361+1/G361))</f>
        <v/>
      </c>
    </row>
    <row r="362">
      <c r="B362" s="30" t="n">
        <v>35.6</v>
      </c>
      <c r="C362" s="12">
        <f>'Dashboard'!$C$9+B362</f>
        <v/>
      </c>
      <c r="D362" s="14">
        <f>(0.24*((C362+0.1*'Cooling Tower &amp; Corrugated Fill'!$C$12))+0.62198*(0.61094*EXP(17.625*(((C362+0.1*'Cooling Tower &amp; Corrugated Fill'!$C$12))-32)/1.8/((((C362+0.1*'Cooling Tower &amp; Corrugated Fill'!$C$12))-32)/1.8+243.04)))/('Cooling Tower &amp; Corrugated Fill'!$C$14-(0.61094*EXP(17.625*(((C362+0.1*'Cooling Tower &amp; Corrugated Fill'!$C$12))-32)/1.8/((((C362+0.1*'Cooling Tower &amp; Corrugated Fill'!$C$12))-32)/1.8+243.04))))*(1061+0.444*((C362+0.1*'Cooling Tower &amp; Corrugated Fill'!$C$12))))-('Merkel Solver'!$C$4+'Cooling Tower &amp; Corrugated Fill'!$C$13*0.1*'Cooling Tower &amp; Corrugated Fill'!$C$12)</f>
        <v/>
      </c>
      <c r="E362" s="14">
        <f>(0.24*((C362+0.4*'Cooling Tower &amp; Corrugated Fill'!$C$12))+0.62198*(0.61094*EXP(17.625*(((C362+0.4*'Cooling Tower &amp; Corrugated Fill'!$C$12))-32)/1.8/((((C362+0.4*'Cooling Tower &amp; Corrugated Fill'!$C$12))-32)/1.8+243.04)))/('Cooling Tower &amp; Corrugated Fill'!$C$14-(0.61094*EXP(17.625*(((C362+0.4*'Cooling Tower &amp; Corrugated Fill'!$C$12))-32)/1.8/((((C362+0.4*'Cooling Tower &amp; Corrugated Fill'!$C$12))-32)/1.8+243.04))))*(1061+0.444*((C362+0.4*'Cooling Tower &amp; Corrugated Fill'!$C$12))))-('Merkel Solver'!$C$4+'Cooling Tower &amp; Corrugated Fill'!$C$13*0.4*'Cooling Tower &amp; Corrugated Fill'!$C$12)</f>
        <v/>
      </c>
      <c r="F362" s="14">
        <f>(0.24*((C362+0.6*'Cooling Tower &amp; Corrugated Fill'!$C$12))+0.62198*(0.61094*EXP(17.625*(((C362+0.6*'Cooling Tower &amp; Corrugated Fill'!$C$12))-32)/1.8/((((C362+0.6*'Cooling Tower &amp; Corrugated Fill'!$C$12))-32)/1.8+243.04)))/('Cooling Tower &amp; Corrugated Fill'!$C$14-(0.61094*EXP(17.625*(((C362+0.6*'Cooling Tower &amp; Corrugated Fill'!$C$12))-32)/1.8/((((C362+0.6*'Cooling Tower &amp; Corrugated Fill'!$C$12))-32)/1.8+243.04))))*(1061+0.444*((C362+0.6*'Cooling Tower &amp; Corrugated Fill'!$C$12))))-('Merkel Solver'!$C$4+'Cooling Tower &amp; Corrugated Fill'!$C$13*0.6*'Cooling Tower &amp; Corrugated Fill'!$C$12)</f>
        <v/>
      </c>
      <c r="G362" s="14">
        <f>(0.24*((C362+0.9*'Cooling Tower &amp; Corrugated Fill'!$C$12))+0.62198*(0.61094*EXP(17.625*(((C362+0.9*'Cooling Tower &amp; Corrugated Fill'!$C$12))-32)/1.8/((((C362+0.9*'Cooling Tower &amp; Corrugated Fill'!$C$12))-32)/1.8+243.04)))/('Cooling Tower &amp; Corrugated Fill'!$C$14-(0.61094*EXP(17.625*(((C362+0.9*'Cooling Tower &amp; Corrugated Fill'!$C$12))-32)/1.8/((((C362+0.9*'Cooling Tower &amp; Corrugated Fill'!$C$12))-32)/1.8+243.04))))*(1061+0.444*((C362+0.9*'Cooling Tower &amp; Corrugated Fill'!$C$12))))-('Merkel Solver'!$C$4+'Cooling Tower &amp; Corrugated Fill'!$C$13*0.9*'Cooling Tower &amp; Corrugated Fill'!$C$12)</f>
        <v/>
      </c>
      <c r="H362" s="22">
        <f>IF(MIN(D362:G362)&lt;=0,99999,'Cooling Tower &amp; Corrugated Fill'!$C$12/4*(1/D362+1/E362+1/F362+1/G362))</f>
        <v/>
      </c>
    </row>
    <row r="363">
      <c r="B363" s="30" t="n">
        <v>35.7</v>
      </c>
      <c r="C363" s="12">
        <f>'Dashboard'!$C$9+B363</f>
        <v/>
      </c>
      <c r="D363" s="14">
        <f>(0.24*((C363+0.1*'Cooling Tower &amp; Corrugated Fill'!$C$12))+0.62198*(0.61094*EXP(17.625*(((C363+0.1*'Cooling Tower &amp; Corrugated Fill'!$C$12))-32)/1.8/((((C363+0.1*'Cooling Tower &amp; Corrugated Fill'!$C$12))-32)/1.8+243.04)))/('Cooling Tower &amp; Corrugated Fill'!$C$14-(0.61094*EXP(17.625*(((C363+0.1*'Cooling Tower &amp; Corrugated Fill'!$C$12))-32)/1.8/((((C363+0.1*'Cooling Tower &amp; Corrugated Fill'!$C$12))-32)/1.8+243.04))))*(1061+0.444*((C363+0.1*'Cooling Tower &amp; Corrugated Fill'!$C$12))))-('Merkel Solver'!$C$4+'Cooling Tower &amp; Corrugated Fill'!$C$13*0.1*'Cooling Tower &amp; Corrugated Fill'!$C$12)</f>
        <v/>
      </c>
      <c r="E363" s="14">
        <f>(0.24*((C363+0.4*'Cooling Tower &amp; Corrugated Fill'!$C$12))+0.62198*(0.61094*EXP(17.625*(((C363+0.4*'Cooling Tower &amp; Corrugated Fill'!$C$12))-32)/1.8/((((C363+0.4*'Cooling Tower &amp; Corrugated Fill'!$C$12))-32)/1.8+243.04)))/('Cooling Tower &amp; Corrugated Fill'!$C$14-(0.61094*EXP(17.625*(((C363+0.4*'Cooling Tower &amp; Corrugated Fill'!$C$12))-32)/1.8/((((C363+0.4*'Cooling Tower &amp; Corrugated Fill'!$C$12))-32)/1.8+243.04))))*(1061+0.444*((C363+0.4*'Cooling Tower &amp; Corrugated Fill'!$C$12))))-('Merkel Solver'!$C$4+'Cooling Tower &amp; Corrugated Fill'!$C$13*0.4*'Cooling Tower &amp; Corrugated Fill'!$C$12)</f>
        <v/>
      </c>
      <c r="F363" s="14">
        <f>(0.24*((C363+0.6*'Cooling Tower &amp; Corrugated Fill'!$C$12))+0.62198*(0.61094*EXP(17.625*(((C363+0.6*'Cooling Tower &amp; Corrugated Fill'!$C$12))-32)/1.8/((((C363+0.6*'Cooling Tower &amp; Corrugated Fill'!$C$12))-32)/1.8+243.04)))/('Cooling Tower &amp; Corrugated Fill'!$C$14-(0.61094*EXP(17.625*(((C363+0.6*'Cooling Tower &amp; Corrugated Fill'!$C$12))-32)/1.8/((((C363+0.6*'Cooling Tower &amp; Corrugated Fill'!$C$12))-32)/1.8+243.04))))*(1061+0.444*((C363+0.6*'Cooling Tower &amp; Corrugated Fill'!$C$12))))-('Merkel Solver'!$C$4+'Cooling Tower &amp; Corrugated Fill'!$C$13*0.6*'Cooling Tower &amp; Corrugated Fill'!$C$12)</f>
        <v/>
      </c>
      <c r="G363" s="14">
        <f>(0.24*((C363+0.9*'Cooling Tower &amp; Corrugated Fill'!$C$12))+0.62198*(0.61094*EXP(17.625*(((C363+0.9*'Cooling Tower &amp; Corrugated Fill'!$C$12))-32)/1.8/((((C363+0.9*'Cooling Tower &amp; Corrugated Fill'!$C$12))-32)/1.8+243.04)))/('Cooling Tower &amp; Corrugated Fill'!$C$14-(0.61094*EXP(17.625*(((C363+0.9*'Cooling Tower &amp; Corrugated Fill'!$C$12))-32)/1.8/((((C363+0.9*'Cooling Tower &amp; Corrugated Fill'!$C$12))-32)/1.8+243.04))))*(1061+0.444*((C363+0.9*'Cooling Tower &amp; Corrugated Fill'!$C$12))))-('Merkel Solver'!$C$4+'Cooling Tower &amp; Corrugated Fill'!$C$13*0.9*'Cooling Tower &amp; Corrugated Fill'!$C$12)</f>
        <v/>
      </c>
      <c r="H363" s="22">
        <f>IF(MIN(D363:G363)&lt;=0,99999,'Cooling Tower &amp; Corrugated Fill'!$C$12/4*(1/D363+1/E363+1/F363+1/G363))</f>
        <v/>
      </c>
    </row>
    <row r="364">
      <c r="B364" s="30" t="n">
        <v>35.8</v>
      </c>
      <c r="C364" s="12">
        <f>'Dashboard'!$C$9+B364</f>
        <v/>
      </c>
      <c r="D364" s="14">
        <f>(0.24*((C364+0.1*'Cooling Tower &amp; Corrugated Fill'!$C$12))+0.62198*(0.61094*EXP(17.625*(((C364+0.1*'Cooling Tower &amp; Corrugated Fill'!$C$12))-32)/1.8/((((C364+0.1*'Cooling Tower &amp; Corrugated Fill'!$C$12))-32)/1.8+243.04)))/('Cooling Tower &amp; Corrugated Fill'!$C$14-(0.61094*EXP(17.625*(((C364+0.1*'Cooling Tower &amp; Corrugated Fill'!$C$12))-32)/1.8/((((C364+0.1*'Cooling Tower &amp; Corrugated Fill'!$C$12))-32)/1.8+243.04))))*(1061+0.444*((C364+0.1*'Cooling Tower &amp; Corrugated Fill'!$C$12))))-('Merkel Solver'!$C$4+'Cooling Tower &amp; Corrugated Fill'!$C$13*0.1*'Cooling Tower &amp; Corrugated Fill'!$C$12)</f>
        <v/>
      </c>
      <c r="E364" s="14">
        <f>(0.24*((C364+0.4*'Cooling Tower &amp; Corrugated Fill'!$C$12))+0.62198*(0.61094*EXP(17.625*(((C364+0.4*'Cooling Tower &amp; Corrugated Fill'!$C$12))-32)/1.8/((((C364+0.4*'Cooling Tower &amp; Corrugated Fill'!$C$12))-32)/1.8+243.04)))/('Cooling Tower &amp; Corrugated Fill'!$C$14-(0.61094*EXP(17.625*(((C364+0.4*'Cooling Tower &amp; Corrugated Fill'!$C$12))-32)/1.8/((((C364+0.4*'Cooling Tower &amp; Corrugated Fill'!$C$12))-32)/1.8+243.04))))*(1061+0.444*((C364+0.4*'Cooling Tower &amp; Corrugated Fill'!$C$12))))-('Merkel Solver'!$C$4+'Cooling Tower &amp; Corrugated Fill'!$C$13*0.4*'Cooling Tower &amp; Corrugated Fill'!$C$12)</f>
        <v/>
      </c>
      <c r="F364" s="14">
        <f>(0.24*((C364+0.6*'Cooling Tower &amp; Corrugated Fill'!$C$12))+0.62198*(0.61094*EXP(17.625*(((C364+0.6*'Cooling Tower &amp; Corrugated Fill'!$C$12))-32)/1.8/((((C364+0.6*'Cooling Tower &amp; Corrugated Fill'!$C$12))-32)/1.8+243.04)))/('Cooling Tower &amp; Corrugated Fill'!$C$14-(0.61094*EXP(17.625*(((C364+0.6*'Cooling Tower &amp; Corrugated Fill'!$C$12))-32)/1.8/((((C364+0.6*'Cooling Tower &amp; Corrugated Fill'!$C$12))-32)/1.8+243.04))))*(1061+0.444*((C364+0.6*'Cooling Tower &amp; Corrugated Fill'!$C$12))))-('Merkel Solver'!$C$4+'Cooling Tower &amp; Corrugated Fill'!$C$13*0.6*'Cooling Tower &amp; Corrugated Fill'!$C$12)</f>
        <v/>
      </c>
      <c r="G364" s="14">
        <f>(0.24*((C364+0.9*'Cooling Tower &amp; Corrugated Fill'!$C$12))+0.62198*(0.61094*EXP(17.625*(((C364+0.9*'Cooling Tower &amp; Corrugated Fill'!$C$12))-32)/1.8/((((C364+0.9*'Cooling Tower &amp; Corrugated Fill'!$C$12))-32)/1.8+243.04)))/('Cooling Tower &amp; Corrugated Fill'!$C$14-(0.61094*EXP(17.625*(((C364+0.9*'Cooling Tower &amp; Corrugated Fill'!$C$12))-32)/1.8/((((C364+0.9*'Cooling Tower &amp; Corrugated Fill'!$C$12))-32)/1.8+243.04))))*(1061+0.444*((C364+0.9*'Cooling Tower &amp; Corrugated Fill'!$C$12))))-('Merkel Solver'!$C$4+'Cooling Tower &amp; Corrugated Fill'!$C$13*0.9*'Cooling Tower &amp; Corrugated Fill'!$C$12)</f>
        <v/>
      </c>
      <c r="H364" s="22">
        <f>IF(MIN(D364:G364)&lt;=0,99999,'Cooling Tower &amp; Corrugated Fill'!$C$12/4*(1/D364+1/E364+1/F364+1/G364))</f>
        <v/>
      </c>
    </row>
    <row r="365">
      <c r="B365" s="30" t="n">
        <v>35.9</v>
      </c>
      <c r="C365" s="12">
        <f>'Dashboard'!$C$9+B365</f>
        <v/>
      </c>
      <c r="D365" s="14">
        <f>(0.24*((C365+0.1*'Cooling Tower &amp; Corrugated Fill'!$C$12))+0.62198*(0.61094*EXP(17.625*(((C365+0.1*'Cooling Tower &amp; Corrugated Fill'!$C$12))-32)/1.8/((((C365+0.1*'Cooling Tower &amp; Corrugated Fill'!$C$12))-32)/1.8+243.04)))/('Cooling Tower &amp; Corrugated Fill'!$C$14-(0.61094*EXP(17.625*(((C365+0.1*'Cooling Tower &amp; Corrugated Fill'!$C$12))-32)/1.8/((((C365+0.1*'Cooling Tower &amp; Corrugated Fill'!$C$12))-32)/1.8+243.04))))*(1061+0.444*((C365+0.1*'Cooling Tower &amp; Corrugated Fill'!$C$12))))-('Merkel Solver'!$C$4+'Cooling Tower &amp; Corrugated Fill'!$C$13*0.1*'Cooling Tower &amp; Corrugated Fill'!$C$12)</f>
        <v/>
      </c>
      <c r="E365" s="14">
        <f>(0.24*((C365+0.4*'Cooling Tower &amp; Corrugated Fill'!$C$12))+0.62198*(0.61094*EXP(17.625*(((C365+0.4*'Cooling Tower &amp; Corrugated Fill'!$C$12))-32)/1.8/((((C365+0.4*'Cooling Tower &amp; Corrugated Fill'!$C$12))-32)/1.8+243.04)))/('Cooling Tower &amp; Corrugated Fill'!$C$14-(0.61094*EXP(17.625*(((C365+0.4*'Cooling Tower &amp; Corrugated Fill'!$C$12))-32)/1.8/((((C365+0.4*'Cooling Tower &amp; Corrugated Fill'!$C$12))-32)/1.8+243.04))))*(1061+0.444*((C365+0.4*'Cooling Tower &amp; Corrugated Fill'!$C$12))))-('Merkel Solver'!$C$4+'Cooling Tower &amp; Corrugated Fill'!$C$13*0.4*'Cooling Tower &amp; Corrugated Fill'!$C$12)</f>
        <v/>
      </c>
      <c r="F365" s="14">
        <f>(0.24*((C365+0.6*'Cooling Tower &amp; Corrugated Fill'!$C$12))+0.62198*(0.61094*EXP(17.625*(((C365+0.6*'Cooling Tower &amp; Corrugated Fill'!$C$12))-32)/1.8/((((C365+0.6*'Cooling Tower &amp; Corrugated Fill'!$C$12))-32)/1.8+243.04)))/('Cooling Tower &amp; Corrugated Fill'!$C$14-(0.61094*EXP(17.625*(((C365+0.6*'Cooling Tower &amp; Corrugated Fill'!$C$12))-32)/1.8/((((C365+0.6*'Cooling Tower &amp; Corrugated Fill'!$C$12))-32)/1.8+243.04))))*(1061+0.444*((C365+0.6*'Cooling Tower &amp; Corrugated Fill'!$C$12))))-('Merkel Solver'!$C$4+'Cooling Tower &amp; Corrugated Fill'!$C$13*0.6*'Cooling Tower &amp; Corrugated Fill'!$C$12)</f>
        <v/>
      </c>
      <c r="G365" s="14">
        <f>(0.24*((C365+0.9*'Cooling Tower &amp; Corrugated Fill'!$C$12))+0.62198*(0.61094*EXP(17.625*(((C365+0.9*'Cooling Tower &amp; Corrugated Fill'!$C$12))-32)/1.8/((((C365+0.9*'Cooling Tower &amp; Corrugated Fill'!$C$12))-32)/1.8+243.04)))/('Cooling Tower &amp; Corrugated Fill'!$C$14-(0.61094*EXP(17.625*(((C365+0.9*'Cooling Tower &amp; Corrugated Fill'!$C$12))-32)/1.8/((((C365+0.9*'Cooling Tower &amp; Corrugated Fill'!$C$12))-32)/1.8+243.04))))*(1061+0.444*((C365+0.9*'Cooling Tower &amp; Corrugated Fill'!$C$12))))-('Merkel Solver'!$C$4+'Cooling Tower &amp; Corrugated Fill'!$C$13*0.9*'Cooling Tower &amp; Corrugated Fill'!$C$12)</f>
        <v/>
      </c>
      <c r="H365" s="22">
        <f>IF(MIN(D365:G365)&lt;=0,99999,'Cooling Tower &amp; Corrugated Fill'!$C$12/4*(1/D365+1/E365+1/F365+1/G365))</f>
        <v/>
      </c>
    </row>
    <row r="366">
      <c r="B366" s="30" t="n">
        <v>36</v>
      </c>
      <c r="C366" s="12">
        <f>'Dashboard'!$C$9+B366</f>
        <v/>
      </c>
      <c r="D366" s="14">
        <f>(0.24*((C366+0.1*'Cooling Tower &amp; Corrugated Fill'!$C$12))+0.62198*(0.61094*EXP(17.625*(((C366+0.1*'Cooling Tower &amp; Corrugated Fill'!$C$12))-32)/1.8/((((C366+0.1*'Cooling Tower &amp; Corrugated Fill'!$C$12))-32)/1.8+243.04)))/('Cooling Tower &amp; Corrugated Fill'!$C$14-(0.61094*EXP(17.625*(((C366+0.1*'Cooling Tower &amp; Corrugated Fill'!$C$12))-32)/1.8/((((C366+0.1*'Cooling Tower &amp; Corrugated Fill'!$C$12))-32)/1.8+243.04))))*(1061+0.444*((C366+0.1*'Cooling Tower &amp; Corrugated Fill'!$C$12))))-('Merkel Solver'!$C$4+'Cooling Tower &amp; Corrugated Fill'!$C$13*0.1*'Cooling Tower &amp; Corrugated Fill'!$C$12)</f>
        <v/>
      </c>
      <c r="E366" s="14">
        <f>(0.24*((C366+0.4*'Cooling Tower &amp; Corrugated Fill'!$C$12))+0.62198*(0.61094*EXP(17.625*(((C366+0.4*'Cooling Tower &amp; Corrugated Fill'!$C$12))-32)/1.8/((((C366+0.4*'Cooling Tower &amp; Corrugated Fill'!$C$12))-32)/1.8+243.04)))/('Cooling Tower &amp; Corrugated Fill'!$C$14-(0.61094*EXP(17.625*(((C366+0.4*'Cooling Tower &amp; Corrugated Fill'!$C$12))-32)/1.8/((((C366+0.4*'Cooling Tower &amp; Corrugated Fill'!$C$12))-32)/1.8+243.04))))*(1061+0.444*((C366+0.4*'Cooling Tower &amp; Corrugated Fill'!$C$12))))-('Merkel Solver'!$C$4+'Cooling Tower &amp; Corrugated Fill'!$C$13*0.4*'Cooling Tower &amp; Corrugated Fill'!$C$12)</f>
        <v/>
      </c>
      <c r="F366" s="14">
        <f>(0.24*((C366+0.6*'Cooling Tower &amp; Corrugated Fill'!$C$12))+0.62198*(0.61094*EXP(17.625*(((C366+0.6*'Cooling Tower &amp; Corrugated Fill'!$C$12))-32)/1.8/((((C366+0.6*'Cooling Tower &amp; Corrugated Fill'!$C$12))-32)/1.8+243.04)))/('Cooling Tower &amp; Corrugated Fill'!$C$14-(0.61094*EXP(17.625*(((C366+0.6*'Cooling Tower &amp; Corrugated Fill'!$C$12))-32)/1.8/((((C366+0.6*'Cooling Tower &amp; Corrugated Fill'!$C$12))-32)/1.8+243.04))))*(1061+0.444*((C366+0.6*'Cooling Tower &amp; Corrugated Fill'!$C$12))))-('Merkel Solver'!$C$4+'Cooling Tower &amp; Corrugated Fill'!$C$13*0.6*'Cooling Tower &amp; Corrugated Fill'!$C$12)</f>
        <v/>
      </c>
      <c r="G366" s="14">
        <f>(0.24*((C366+0.9*'Cooling Tower &amp; Corrugated Fill'!$C$12))+0.62198*(0.61094*EXP(17.625*(((C366+0.9*'Cooling Tower &amp; Corrugated Fill'!$C$12))-32)/1.8/((((C366+0.9*'Cooling Tower &amp; Corrugated Fill'!$C$12))-32)/1.8+243.04)))/('Cooling Tower &amp; Corrugated Fill'!$C$14-(0.61094*EXP(17.625*(((C366+0.9*'Cooling Tower &amp; Corrugated Fill'!$C$12))-32)/1.8/((((C366+0.9*'Cooling Tower &amp; Corrugated Fill'!$C$12))-32)/1.8+243.04))))*(1061+0.444*((C366+0.9*'Cooling Tower &amp; Corrugated Fill'!$C$12))))-('Merkel Solver'!$C$4+'Cooling Tower &amp; Corrugated Fill'!$C$13*0.9*'Cooling Tower &amp; Corrugated Fill'!$C$12)</f>
        <v/>
      </c>
      <c r="H366" s="22">
        <f>IF(MIN(D366:G366)&lt;=0,99999,'Cooling Tower &amp; Corrugated Fill'!$C$12/4*(1/D366+1/E366+1/F366+1/G366))</f>
        <v/>
      </c>
    </row>
    <row r="367">
      <c r="B367" s="30" t="n">
        <v>36.1</v>
      </c>
      <c r="C367" s="12">
        <f>'Dashboard'!$C$9+B367</f>
        <v/>
      </c>
      <c r="D367" s="14">
        <f>(0.24*((C367+0.1*'Cooling Tower &amp; Corrugated Fill'!$C$12))+0.62198*(0.61094*EXP(17.625*(((C367+0.1*'Cooling Tower &amp; Corrugated Fill'!$C$12))-32)/1.8/((((C367+0.1*'Cooling Tower &amp; Corrugated Fill'!$C$12))-32)/1.8+243.04)))/('Cooling Tower &amp; Corrugated Fill'!$C$14-(0.61094*EXP(17.625*(((C367+0.1*'Cooling Tower &amp; Corrugated Fill'!$C$12))-32)/1.8/((((C367+0.1*'Cooling Tower &amp; Corrugated Fill'!$C$12))-32)/1.8+243.04))))*(1061+0.444*((C367+0.1*'Cooling Tower &amp; Corrugated Fill'!$C$12))))-('Merkel Solver'!$C$4+'Cooling Tower &amp; Corrugated Fill'!$C$13*0.1*'Cooling Tower &amp; Corrugated Fill'!$C$12)</f>
        <v/>
      </c>
      <c r="E367" s="14">
        <f>(0.24*((C367+0.4*'Cooling Tower &amp; Corrugated Fill'!$C$12))+0.62198*(0.61094*EXP(17.625*(((C367+0.4*'Cooling Tower &amp; Corrugated Fill'!$C$12))-32)/1.8/((((C367+0.4*'Cooling Tower &amp; Corrugated Fill'!$C$12))-32)/1.8+243.04)))/('Cooling Tower &amp; Corrugated Fill'!$C$14-(0.61094*EXP(17.625*(((C367+0.4*'Cooling Tower &amp; Corrugated Fill'!$C$12))-32)/1.8/((((C367+0.4*'Cooling Tower &amp; Corrugated Fill'!$C$12))-32)/1.8+243.04))))*(1061+0.444*((C367+0.4*'Cooling Tower &amp; Corrugated Fill'!$C$12))))-('Merkel Solver'!$C$4+'Cooling Tower &amp; Corrugated Fill'!$C$13*0.4*'Cooling Tower &amp; Corrugated Fill'!$C$12)</f>
        <v/>
      </c>
      <c r="F367" s="14">
        <f>(0.24*((C367+0.6*'Cooling Tower &amp; Corrugated Fill'!$C$12))+0.62198*(0.61094*EXP(17.625*(((C367+0.6*'Cooling Tower &amp; Corrugated Fill'!$C$12))-32)/1.8/((((C367+0.6*'Cooling Tower &amp; Corrugated Fill'!$C$12))-32)/1.8+243.04)))/('Cooling Tower &amp; Corrugated Fill'!$C$14-(0.61094*EXP(17.625*(((C367+0.6*'Cooling Tower &amp; Corrugated Fill'!$C$12))-32)/1.8/((((C367+0.6*'Cooling Tower &amp; Corrugated Fill'!$C$12))-32)/1.8+243.04))))*(1061+0.444*((C367+0.6*'Cooling Tower &amp; Corrugated Fill'!$C$12))))-('Merkel Solver'!$C$4+'Cooling Tower &amp; Corrugated Fill'!$C$13*0.6*'Cooling Tower &amp; Corrugated Fill'!$C$12)</f>
        <v/>
      </c>
      <c r="G367" s="14">
        <f>(0.24*((C367+0.9*'Cooling Tower &amp; Corrugated Fill'!$C$12))+0.62198*(0.61094*EXP(17.625*(((C367+0.9*'Cooling Tower &amp; Corrugated Fill'!$C$12))-32)/1.8/((((C367+0.9*'Cooling Tower &amp; Corrugated Fill'!$C$12))-32)/1.8+243.04)))/('Cooling Tower &amp; Corrugated Fill'!$C$14-(0.61094*EXP(17.625*(((C367+0.9*'Cooling Tower &amp; Corrugated Fill'!$C$12))-32)/1.8/((((C367+0.9*'Cooling Tower &amp; Corrugated Fill'!$C$12))-32)/1.8+243.04))))*(1061+0.444*((C367+0.9*'Cooling Tower &amp; Corrugated Fill'!$C$12))))-('Merkel Solver'!$C$4+'Cooling Tower &amp; Corrugated Fill'!$C$13*0.9*'Cooling Tower &amp; Corrugated Fill'!$C$12)</f>
        <v/>
      </c>
      <c r="H367" s="22">
        <f>IF(MIN(D367:G367)&lt;=0,99999,'Cooling Tower &amp; Corrugated Fill'!$C$12/4*(1/D367+1/E367+1/F367+1/G367))</f>
        <v/>
      </c>
    </row>
    <row r="368">
      <c r="B368" s="30" t="n">
        <v>36.2</v>
      </c>
      <c r="C368" s="12">
        <f>'Dashboard'!$C$9+B368</f>
        <v/>
      </c>
      <c r="D368" s="14">
        <f>(0.24*((C368+0.1*'Cooling Tower &amp; Corrugated Fill'!$C$12))+0.62198*(0.61094*EXP(17.625*(((C368+0.1*'Cooling Tower &amp; Corrugated Fill'!$C$12))-32)/1.8/((((C368+0.1*'Cooling Tower &amp; Corrugated Fill'!$C$12))-32)/1.8+243.04)))/('Cooling Tower &amp; Corrugated Fill'!$C$14-(0.61094*EXP(17.625*(((C368+0.1*'Cooling Tower &amp; Corrugated Fill'!$C$12))-32)/1.8/((((C368+0.1*'Cooling Tower &amp; Corrugated Fill'!$C$12))-32)/1.8+243.04))))*(1061+0.444*((C368+0.1*'Cooling Tower &amp; Corrugated Fill'!$C$12))))-('Merkel Solver'!$C$4+'Cooling Tower &amp; Corrugated Fill'!$C$13*0.1*'Cooling Tower &amp; Corrugated Fill'!$C$12)</f>
        <v/>
      </c>
      <c r="E368" s="14">
        <f>(0.24*((C368+0.4*'Cooling Tower &amp; Corrugated Fill'!$C$12))+0.62198*(0.61094*EXP(17.625*(((C368+0.4*'Cooling Tower &amp; Corrugated Fill'!$C$12))-32)/1.8/((((C368+0.4*'Cooling Tower &amp; Corrugated Fill'!$C$12))-32)/1.8+243.04)))/('Cooling Tower &amp; Corrugated Fill'!$C$14-(0.61094*EXP(17.625*(((C368+0.4*'Cooling Tower &amp; Corrugated Fill'!$C$12))-32)/1.8/((((C368+0.4*'Cooling Tower &amp; Corrugated Fill'!$C$12))-32)/1.8+243.04))))*(1061+0.444*((C368+0.4*'Cooling Tower &amp; Corrugated Fill'!$C$12))))-('Merkel Solver'!$C$4+'Cooling Tower &amp; Corrugated Fill'!$C$13*0.4*'Cooling Tower &amp; Corrugated Fill'!$C$12)</f>
        <v/>
      </c>
      <c r="F368" s="14">
        <f>(0.24*((C368+0.6*'Cooling Tower &amp; Corrugated Fill'!$C$12))+0.62198*(0.61094*EXP(17.625*(((C368+0.6*'Cooling Tower &amp; Corrugated Fill'!$C$12))-32)/1.8/((((C368+0.6*'Cooling Tower &amp; Corrugated Fill'!$C$12))-32)/1.8+243.04)))/('Cooling Tower &amp; Corrugated Fill'!$C$14-(0.61094*EXP(17.625*(((C368+0.6*'Cooling Tower &amp; Corrugated Fill'!$C$12))-32)/1.8/((((C368+0.6*'Cooling Tower &amp; Corrugated Fill'!$C$12))-32)/1.8+243.04))))*(1061+0.444*((C368+0.6*'Cooling Tower &amp; Corrugated Fill'!$C$12))))-('Merkel Solver'!$C$4+'Cooling Tower &amp; Corrugated Fill'!$C$13*0.6*'Cooling Tower &amp; Corrugated Fill'!$C$12)</f>
        <v/>
      </c>
      <c r="G368" s="14">
        <f>(0.24*((C368+0.9*'Cooling Tower &amp; Corrugated Fill'!$C$12))+0.62198*(0.61094*EXP(17.625*(((C368+0.9*'Cooling Tower &amp; Corrugated Fill'!$C$12))-32)/1.8/((((C368+0.9*'Cooling Tower &amp; Corrugated Fill'!$C$12))-32)/1.8+243.04)))/('Cooling Tower &amp; Corrugated Fill'!$C$14-(0.61094*EXP(17.625*(((C368+0.9*'Cooling Tower &amp; Corrugated Fill'!$C$12))-32)/1.8/((((C368+0.9*'Cooling Tower &amp; Corrugated Fill'!$C$12))-32)/1.8+243.04))))*(1061+0.444*((C368+0.9*'Cooling Tower &amp; Corrugated Fill'!$C$12))))-('Merkel Solver'!$C$4+'Cooling Tower &amp; Corrugated Fill'!$C$13*0.9*'Cooling Tower &amp; Corrugated Fill'!$C$12)</f>
        <v/>
      </c>
      <c r="H368" s="22">
        <f>IF(MIN(D368:G368)&lt;=0,99999,'Cooling Tower &amp; Corrugated Fill'!$C$12/4*(1/D368+1/E368+1/F368+1/G368))</f>
        <v/>
      </c>
    </row>
    <row r="369">
      <c r="B369" s="30" t="n">
        <v>36.3</v>
      </c>
      <c r="C369" s="12">
        <f>'Dashboard'!$C$9+B369</f>
        <v/>
      </c>
      <c r="D369" s="14">
        <f>(0.24*((C369+0.1*'Cooling Tower &amp; Corrugated Fill'!$C$12))+0.62198*(0.61094*EXP(17.625*(((C369+0.1*'Cooling Tower &amp; Corrugated Fill'!$C$12))-32)/1.8/((((C369+0.1*'Cooling Tower &amp; Corrugated Fill'!$C$12))-32)/1.8+243.04)))/('Cooling Tower &amp; Corrugated Fill'!$C$14-(0.61094*EXP(17.625*(((C369+0.1*'Cooling Tower &amp; Corrugated Fill'!$C$12))-32)/1.8/((((C369+0.1*'Cooling Tower &amp; Corrugated Fill'!$C$12))-32)/1.8+243.04))))*(1061+0.444*((C369+0.1*'Cooling Tower &amp; Corrugated Fill'!$C$12))))-('Merkel Solver'!$C$4+'Cooling Tower &amp; Corrugated Fill'!$C$13*0.1*'Cooling Tower &amp; Corrugated Fill'!$C$12)</f>
        <v/>
      </c>
      <c r="E369" s="14">
        <f>(0.24*((C369+0.4*'Cooling Tower &amp; Corrugated Fill'!$C$12))+0.62198*(0.61094*EXP(17.625*(((C369+0.4*'Cooling Tower &amp; Corrugated Fill'!$C$12))-32)/1.8/((((C369+0.4*'Cooling Tower &amp; Corrugated Fill'!$C$12))-32)/1.8+243.04)))/('Cooling Tower &amp; Corrugated Fill'!$C$14-(0.61094*EXP(17.625*(((C369+0.4*'Cooling Tower &amp; Corrugated Fill'!$C$12))-32)/1.8/((((C369+0.4*'Cooling Tower &amp; Corrugated Fill'!$C$12))-32)/1.8+243.04))))*(1061+0.444*((C369+0.4*'Cooling Tower &amp; Corrugated Fill'!$C$12))))-('Merkel Solver'!$C$4+'Cooling Tower &amp; Corrugated Fill'!$C$13*0.4*'Cooling Tower &amp; Corrugated Fill'!$C$12)</f>
        <v/>
      </c>
      <c r="F369" s="14">
        <f>(0.24*((C369+0.6*'Cooling Tower &amp; Corrugated Fill'!$C$12))+0.62198*(0.61094*EXP(17.625*(((C369+0.6*'Cooling Tower &amp; Corrugated Fill'!$C$12))-32)/1.8/((((C369+0.6*'Cooling Tower &amp; Corrugated Fill'!$C$12))-32)/1.8+243.04)))/('Cooling Tower &amp; Corrugated Fill'!$C$14-(0.61094*EXP(17.625*(((C369+0.6*'Cooling Tower &amp; Corrugated Fill'!$C$12))-32)/1.8/((((C369+0.6*'Cooling Tower &amp; Corrugated Fill'!$C$12))-32)/1.8+243.04))))*(1061+0.444*((C369+0.6*'Cooling Tower &amp; Corrugated Fill'!$C$12))))-('Merkel Solver'!$C$4+'Cooling Tower &amp; Corrugated Fill'!$C$13*0.6*'Cooling Tower &amp; Corrugated Fill'!$C$12)</f>
        <v/>
      </c>
      <c r="G369" s="14">
        <f>(0.24*((C369+0.9*'Cooling Tower &amp; Corrugated Fill'!$C$12))+0.62198*(0.61094*EXP(17.625*(((C369+0.9*'Cooling Tower &amp; Corrugated Fill'!$C$12))-32)/1.8/((((C369+0.9*'Cooling Tower &amp; Corrugated Fill'!$C$12))-32)/1.8+243.04)))/('Cooling Tower &amp; Corrugated Fill'!$C$14-(0.61094*EXP(17.625*(((C369+0.9*'Cooling Tower &amp; Corrugated Fill'!$C$12))-32)/1.8/((((C369+0.9*'Cooling Tower &amp; Corrugated Fill'!$C$12))-32)/1.8+243.04))))*(1061+0.444*((C369+0.9*'Cooling Tower &amp; Corrugated Fill'!$C$12))))-('Merkel Solver'!$C$4+'Cooling Tower &amp; Corrugated Fill'!$C$13*0.9*'Cooling Tower &amp; Corrugated Fill'!$C$12)</f>
        <v/>
      </c>
      <c r="H369" s="22">
        <f>IF(MIN(D369:G369)&lt;=0,99999,'Cooling Tower &amp; Corrugated Fill'!$C$12/4*(1/D369+1/E369+1/F369+1/G369))</f>
        <v/>
      </c>
    </row>
    <row r="370">
      <c r="B370" s="30" t="n">
        <v>36.4</v>
      </c>
      <c r="C370" s="12">
        <f>'Dashboard'!$C$9+B370</f>
        <v/>
      </c>
      <c r="D370" s="14">
        <f>(0.24*((C370+0.1*'Cooling Tower &amp; Corrugated Fill'!$C$12))+0.62198*(0.61094*EXP(17.625*(((C370+0.1*'Cooling Tower &amp; Corrugated Fill'!$C$12))-32)/1.8/((((C370+0.1*'Cooling Tower &amp; Corrugated Fill'!$C$12))-32)/1.8+243.04)))/('Cooling Tower &amp; Corrugated Fill'!$C$14-(0.61094*EXP(17.625*(((C370+0.1*'Cooling Tower &amp; Corrugated Fill'!$C$12))-32)/1.8/((((C370+0.1*'Cooling Tower &amp; Corrugated Fill'!$C$12))-32)/1.8+243.04))))*(1061+0.444*((C370+0.1*'Cooling Tower &amp; Corrugated Fill'!$C$12))))-('Merkel Solver'!$C$4+'Cooling Tower &amp; Corrugated Fill'!$C$13*0.1*'Cooling Tower &amp; Corrugated Fill'!$C$12)</f>
        <v/>
      </c>
      <c r="E370" s="14">
        <f>(0.24*((C370+0.4*'Cooling Tower &amp; Corrugated Fill'!$C$12))+0.62198*(0.61094*EXP(17.625*(((C370+0.4*'Cooling Tower &amp; Corrugated Fill'!$C$12))-32)/1.8/((((C370+0.4*'Cooling Tower &amp; Corrugated Fill'!$C$12))-32)/1.8+243.04)))/('Cooling Tower &amp; Corrugated Fill'!$C$14-(0.61094*EXP(17.625*(((C370+0.4*'Cooling Tower &amp; Corrugated Fill'!$C$12))-32)/1.8/((((C370+0.4*'Cooling Tower &amp; Corrugated Fill'!$C$12))-32)/1.8+243.04))))*(1061+0.444*((C370+0.4*'Cooling Tower &amp; Corrugated Fill'!$C$12))))-('Merkel Solver'!$C$4+'Cooling Tower &amp; Corrugated Fill'!$C$13*0.4*'Cooling Tower &amp; Corrugated Fill'!$C$12)</f>
        <v/>
      </c>
      <c r="F370" s="14">
        <f>(0.24*((C370+0.6*'Cooling Tower &amp; Corrugated Fill'!$C$12))+0.62198*(0.61094*EXP(17.625*(((C370+0.6*'Cooling Tower &amp; Corrugated Fill'!$C$12))-32)/1.8/((((C370+0.6*'Cooling Tower &amp; Corrugated Fill'!$C$12))-32)/1.8+243.04)))/('Cooling Tower &amp; Corrugated Fill'!$C$14-(0.61094*EXP(17.625*(((C370+0.6*'Cooling Tower &amp; Corrugated Fill'!$C$12))-32)/1.8/((((C370+0.6*'Cooling Tower &amp; Corrugated Fill'!$C$12))-32)/1.8+243.04))))*(1061+0.444*((C370+0.6*'Cooling Tower &amp; Corrugated Fill'!$C$12))))-('Merkel Solver'!$C$4+'Cooling Tower &amp; Corrugated Fill'!$C$13*0.6*'Cooling Tower &amp; Corrugated Fill'!$C$12)</f>
        <v/>
      </c>
      <c r="G370" s="14">
        <f>(0.24*((C370+0.9*'Cooling Tower &amp; Corrugated Fill'!$C$12))+0.62198*(0.61094*EXP(17.625*(((C370+0.9*'Cooling Tower &amp; Corrugated Fill'!$C$12))-32)/1.8/((((C370+0.9*'Cooling Tower &amp; Corrugated Fill'!$C$12))-32)/1.8+243.04)))/('Cooling Tower &amp; Corrugated Fill'!$C$14-(0.61094*EXP(17.625*(((C370+0.9*'Cooling Tower &amp; Corrugated Fill'!$C$12))-32)/1.8/((((C370+0.9*'Cooling Tower &amp; Corrugated Fill'!$C$12))-32)/1.8+243.04))))*(1061+0.444*((C370+0.9*'Cooling Tower &amp; Corrugated Fill'!$C$12))))-('Merkel Solver'!$C$4+'Cooling Tower &amp; Corrugated Fill'!$C$13*0.9*'Cooling Tower &amp; Corrugated Fill'!$C$12)</f>
        <v/>
      </c>
      <c r="H370" s="22">
        <f>IF(MIN(D370:G370)&lt;=0,99999,'Cooling Tower &amp; Corrugated Fill'!$C$12/4*(1/D370+1/E370+1/F370+1/G370))</f>
        <v/>
      </c>
    </row>
    <row r="371">
      <c r="B371" s="30" t="n">
        <v>36.5</v>
      </c>
      <c r="C371" s="12">
        <f>'Dashboard'!$C$9+B371</f>
        <v/>
      </c>
      <c r="D371" s="14">
        <f>(0.24*((C371+0.1*'Cooling Tower &amp; Corrugated Fill'!$C$12))+0.62198*(0.61094*EXP(17.625*(((C371+0.1*'Cooling Tower &amp; Corrugated Fill'!$C$12))-32)/1.8/((((C371+0.1*'Cooling Tower &amp; Corrugated Fill'!$C$12))-32)/1.8+243.04)))/('Cooling Tower &amp; Corrugated Fill'!$C$14-(0.61094*EXP(17.625*(((C371+0.1*'Cooling Tower &amp; Corrugated Fill'!$C$12))-32)/1.8/((((C371+0.1*'Cooling Tower &amp; Corrugated Fill'!$C$12))-32)/1.8+243.04))))*(1061+0.444*((C371+0.1*'Cooling Tower &amp; Corrugated Fill'!$C$12))))-('Merkel Solver'!$C$4+'Cooling Tower &amp; Corrugated Fill'!$C$13*0.1*'Cooling Tower &amp; Corrugated Fill'!$C$12)</f>
        <v/>
      </c>
      <c r="E371" s="14">
        <f>(0.24*((C371+0.4*'Cooling Tower &amp; Corrugated Fill'!$C$12))+0.62198*(0.61094*EXP(17.625*(((C371+0.4*'Cooling Tower &amp; Corrugated Fill'!$C$12))-32)/1.8/((((C371+0.4*'Cooling Tower &amp; Corrugated Fill'!$C$12))-32)/1.8+243.04)))/('Cooling Tower &amp; Corrugated Fill'!$C$14-(0.61094*EXP(17.625*(((C371+0.4*'Cooling Tower &amp; Corrugated Fill'!$C$12))-32)/1.8/((((C371+0.4*'Cooling Tower &amp; Corrugated Fill'!$C$12))-32)/1.8+243.04))))*(1061+0.444*((C371+0.4*'Cooling Tower &amp; Corrugated Fill'!$C$12))))-('Merkel Solver'!$C$4+'Cooling Tower &amp; Corrugated Fill'!$C$13*0.4*'Cooling Tower &amp; Corrugated Fill'!$C$12)</f>
        <v/>
      </c>
      <c r="F371" s="14">
        <f>(0.24*((C371+0.6*'Cooling Tower &amp; Corrugated Fill'!$C$12))+0.62198*(0.61094*EXP(17.625*(((C371+0.6*'Cooling Tower &amp; Corrugated Fill'!$C$12))-32)/1.8/((((C371+0.6*'Cooling Tower &amp; Corrugated Fill'!$C$12))-32)/1.8+243.04)))/('Cooling Tower &amp; Corrugated Fill'!$C$14-(0.61094*EXP(17.625*(((C371+0.6*'Cooling Tower &amp; Corrugated Fill'!$C$12))-32)/1.8/((((C371+0.6*'Cooling Tower &amp; Corrugated Fill'!$C$12))-32)/1.8+243.04))))*(1061+0.444*((C371+0.6*'Cooling Tower &amp; Corrugated Fill'!$C$12))))-('Merkel Solver'!$C$4+'Cooling Tower &amp; Corrugated Fill'!$C$13*0.6*'Cooling Tower &amp; Corrugated Fill'!$C$12)</f>
        <v/>
      </c>
      <c r="G371" s="14">
        <f>(0.24*((C371+0.9*'Cooling Tower &amp; Corrugated Fill'!$C$12))+0.62198*(0.61094*EXP(17.625*(((C371+0.9*'Cooling Tower &amp; Corrugated Fill'!$C$12))-32)/1.8/((((C371+0.9*'Cooling Tower &amp; Corrugated Fill'!$C$12))-32)/1.8+243.04)))/('Cooling Tower &amp; Corrugated Fill'!$C$14-(0.61094*EXP(17.625*(((C371+0.9*'Cooling Tower &amp; Corrugated Fill'!$C$12))-32)/1.8/((((C371+0.9*'Cooling Tower &amp; Corrugated Fill'!$C$12))-32)/1.8+243.04))))*(1061+0.444*((C371+0.9*'Cooling Tower &amp; Corrugated Fill'!$C$12))))-('Merkel Solver'!$C$4+'Cooling Tower &amp; Corrugated Fill'!$C$13*0.9*'Cooling Tower &amp; Corrugated Fill'!$C$12)</f>
        <v/>
      </c>
      <c r="H371" s="22">
        <f>IF(MIN(D371:G371)&lt;=0,99999,'Cooling Tower &amp; Corrugated Fill'!$C$12/4*(1/D371+1/E371+1/F371+1/G371))</f>
        <v/>
      </c>
    </row>
    <row r="372">
      <c r="B372" s="30" t="n">
        <v>36.6</v>
      </c>
      <c r="C372" s="12">
        <f>'Dashboard'!$C$9+B372</f>
        <v/>
      </c>
      <c r="D372" s="14">
        <f>(0.24*((C372+0.1*'Cooling Tower &amp; Corrugated Fill'!$C$12))+0.62198*(0.61094*EXP(17.625*(((C372+0.1*'Cooling Tower &amp; Corrugated Fill'!$C$12))-32)/1.8/((((C372+0.1*'Cooling Tower &amp; Corrugated Fill'!$C$12))-32)/1.8+243.04)))/('Cooling Tower &amp; Corrugated Fill'!$C$14-(0.61094*EXP(17.625*(((C372+0.1*'Cooling Tower &amp; Corrugated Fill'!$C$12))-32)/1.8/((((C372+0.1*'Cooling Tower &amp; Corrugated Fill'!$C$12))-32)/1.8+243.04))))*(1061+0.444*((C372+0.1*'Cooling Tower &amp; Corrugated Fill'!$C$12))))-('Merkel Solver'!$C$4+'Cooling Tower &amp; Corrugated Fill'!$C$13*0.1*'Cooling Tower &amp; Corrugated Fill'!$C$12)</f>
        <v/>
      </c>
      <c r="E372" s="14">
        <f>(0.24*((C372+0.4*'Cooling Tower &amp; Corrugated Fill'!$C$12))+0.62198*(0.61094*EXP(17.625*(((C372+0.4*'Cooling Tower &amp; Corrugated Fill'!$C$12))-32)/1.8/((((C372+0.4*'Cooling Tower &amp; Corrugated Fill'!$C$12))-32)/1.8+243.04)))/('Cooling Tower &amp; Corrugated Fill'!$C$14-(0.61094*EXP(17.625*(((C372+0.4*'Cooling Tower &amp; Corrugated Fill'!$C$12))-32)/1.8/((((C372+0.4*'Cooling Tower &amp; Corrugated Fill'!$C$12))-32)/1.8+243.04))))*(1061+0.444*((C372+0.4*'Cooling Tower &amp; Corrugated Fill'!$C$12))))-('Merkel Solver'!$C$4+'Cooling Tower &amp; Corrugated Fill'!$C$13*0.4*'Cooling Tower &amp; Corrugated Fill'!$C$12)</f>
        <v/>
      </c>
      <c r="F372" s="14">
        <f>(0.24*((C372+0.6*'Cooling Tower &amp; Corrugated Fill'!$C$12))+0.62198*(0.61094*EXP(17.625*(((C372+0.6*'Cooling Tower &amp; Corrugated Fill'!$C$12))-32)/1.8/((((C372+0.6*'Cooling Tower &amp; Corrugated Fill'!$C$12))-32)/1.8+243.04)))/('Cooling Tower &amp; Corrugated Fill'!$C$14-(0.61094*EXP(17.625*(((C372+0.6*'Cooling Tower &amp; Corrugated Fill'!$C$12))-32)/1.8/((((C372+0.6*'Cooling Tower &amp; Corrugated Fill'!$C$12))-32)/1.8+243.04))))*(1061+0.444*((C372+0.6*'Cooling Tower &amp; Corrugated Fill'!$C$12))))-('Merkel Solver'!$C$4+'Cooling Tower &amp; Corrugated Fill'!$C$13*0.6*'Cooling Tower &amp; Corrugated Fill'!$C$12)</f>
        <v/>
      </c>
      <c r="G372" s="14">
        <f>(0.24*((C372+0.9*'Cooling Tower &amp; Corrugated Fill'!$C$12))+0.62198*(0.61094*EXP(17.625*(((C372+0.9*'Cooling Tower &amp; Corrugated Fill'!$C$12))-32)/1.8/((((C372+0.9*'Cooling Tower &amp; Corrugated Fill'!$C$12))-32)/1.8+243.04)))/('Cooling Tower &amp; Corrugated Fill'!$C$14-(0.61094*EXP(17.625*(((C372+0.9*'Cooling Tower &amp; Corrugated Fill'!$C$12))-32)/1.8/((((C372+0.9*'Cooling Tower &amp; Corrugated Fill'!$C$12))-32)/1.8+243.04))))*(1061+0.444*((C372+0.9*'Cooling Tower &amp; Corrugated Fill'!$C$12))))-('Merkel Solver'!$C$4+'Cooling Tower &amp; Corrugated Fill'!$C$13*0.9*'Cooling Tower &amp; Corrugated Fill'!$C$12)</f>
        <v/>
      </c>
      <c r="H372" s="22">
        <f>IF(MIN(D372:G372)&lt;=0,99999,'Cooling Tower &amp; Corrugated Fill'!$C$12/4*(1/D372+1/E372+1/F372+1/G372))</f>
        <v/>
      </c>
    </row>
    <row r="373">
      <c r="B373" s="30" t="n">
        <v>36.7</v>
      </c>
      <c r="C373" s="12">
        <f>'Dashboard'!$C$9+B373</f>
        <v/>
      </c>
      <c r="D373" s="14">
        <f>(0.24*((C373+0.1*'Cooling Tower &amp; Corrugated Fill'!$C$12))+0.62198*(0.61094*EXP(17.625*(((C373+0.1*'Cooling Tower &amp; Corrugated Fill'!$C$12))-32)/1.8/((((C373+0.1*'Cooling Tower &amp; Corrugated Fill'!$C$12))-32)/1.8+243.04)))/('Cooling Tower &amp; Corrugated Fill'!$C$14-(0.61094*EXP(17.625*(((C373+0.1*'Cooling Tower &amp; Corrugated Fill'!$C$12))-32)/1.8/((((C373+0.1*'Cooling Tower &amp; Corrugated Fill'!$C$12))-32)/1.8+243.04))))*(1061+0.444*((C373+0.1*'Cooling Tower &amp; Corrugated Fill'!$C$12))))-('Merkel Solver'!$C$4+'Cooling Tower &amp; Corrugated Fill'!$C$13*0.1*'Cooling Tower &amp; Corrugated Fill'!$C$12)</f>
        <v/>
      </c>
      <c r="E373" s="14">
        <f>(0.24*((C373+0.4*'Cooling Tower &amp; Corrugated Fill'!$C$12))+0.62198*(0.61094*EXP(17.625*(((C373+0.4*'Cooling Tower &amp; Corrugated Fill'!$C$12))-32)/1.8/((((C373+0.4*'Cooling Tower &amp; Corrugated Fill'!$C$12))-32)/1.8+243.04)))/('Cooling Tower &amp; Corrugated Fill'!$C$14-(0.61094*EXP(17.625*(((C373+0.4*'Cooling Tower &amp; Corrugated Fill'!$C$12))-32)/1.8/((((C373+0.4*'Cooling Tower &amp; Corrugated Fill'!$C$12))-32)/1.8+243.04))))*(1061+0.444*((C373+0.4*'Cooling Tower &amp; Corrugated Fill'!$C$12))))-('Merkel Solver'!$C$4+'Cooling Tower &amp; Corrugated Fill'!$C$13*0.4*'Cooling Tower &amp; Corrugated Fill'!$C$12)</f>
        <v/>
      </c>
      <c r="F373" s="14">
        <f>(0.24*((C373+0.6*'Cooling Tower &amp; Corrugated Fill'!$C$12))+0.62198*(0.61094*EXP(17.625*(((C373+0.6*'Cooling Tower &amp; Corrugated Fill'!$C$12))-32)/1.8/((((C373+0.6*'Cooling Tower &amp; Corrugated Fill'!$C$12))-32)/1.8+243.04)))/('Cooling Tower &amp; Corrugated Fill'!$C$14-(0.61094*EXP(17.625*(((C373+0.6*'Cooling Tower &amp; Corrugated Fill'!$C$12))-32)/1.8/((((C373+0.6*'Cooling Tower &amp; Corrugated Fill'!$C$12))-32)/1.8+243.04))))*(1061+0.444*((C373+0.6*'Cooling Tower &amp; Corrugated Fill'!$C$12))))-('Merkel Solver'!$C$4+'Cooling Tower &amp; Corrugated Fill'!$C$13*0.6*'Cooling Tower &amp; Corrugated Fill'!$C$12)</f>
        <v/>
      </c>
      <c r="G373" s="14">
        <f>(0.24*((C373+0.9*'Cooling Tower &amp; Corrugated Fill'!$C$12))+0.62198*(0.61094*EXP(17.625*(((C373+0.9*'Cooling Tower &amp; Corrugated Fill'!$C$12))-32)/1.8/((((C373+0.9*'Cooling Tower &amp; Corrugated Fill'!$C$12))-32)/1.8+243.04)))/('Cooling Tower &amp; Corrugated Fill'!$C$14-(0.61094*EXP(17.625*(((C373+0.9*'Cooling Tower &amp; Corrugated Fill'!$C$12))-32)/1.8/((((C373+0.9*'Cooling Tower &amp; Corrugated Fill'!$C$12))-32)/1.8+243.04))))*(1061+0.444*((C373+0.9*'Cooling Tower &amp; Corrugated Fill'!$C$12))))-('Merkel Solver'!$C$4+'Cooling Tower &amp; Corrugated Fill'!$C$13*0.9*'Cooling Tower &amp; Corrugated Fill'!$C$12)</f>
        <v/>
      </c>
      <c r="H373" s="22">
        <f>IF(MIN(D373:G373)&lt;=0,99999,'Cooling Tower &amp; Corrugated Fill'!$C$12/4*(1/D373+1/E373+1/F373+1/G373))</f>
        <v/>
      </c>
    </row>
    <row r="374">
      <c r="B374" s="30" t="n">
        <v>36.8</v>
      </c>
      <c r="C374" s="12">
        <f>'Dashboard'!$C$9+B374</f>
        <v/>
      </c>
      <c r="D374" s="14">
        <f>(0.24*((C374+0.1*'Cooling Tower &amp; Corrugated Fill'!$C$12))+0.62198*(0.61094*EXP(17.625*(((C374+0.1*'Cooling Tower &amp; Corrugated Fill'!$C$12))-32)/1.8/((((C374+0.1*'Cooling Tower &amp; Corrugated Fill'!$C$12))-32)/1.8+243.04)))/('Cooling Tower &amp; Corrugated Fill'!$C$14-(0.61094*EXP(17.625*(((C374+0.1*'Cooling Tower &amp; Corrugated Fill'!$C$12))-32)/1.8/((((C374+0.1*'Cooling Tower &amp; Corrugated Fill'!$C$12))-32)/1.8+243.04))))*(1061+0.444*((C374+0.1*'Cooling Tower &amp; Corrugated Fill'!$C$12))))-('Merkel Solver'!$C$4+'Cooling Tower &amp; Corrugated Fill'!$C$13*0.1*'Cooling Tower &amp; Corrugated Fill'!$C$12)</f>
        <v/>
      </c>
      <c r="E374" s="14">
        <f>(0.24*((C374+0.4*'Cooling Tower &amp; Corrugated Fill'!$C$12))+0.62198*(0.61094*EXP(17.625*(((C374+0.4*'Cooling Tower &amp; Corrugated Fill'!$C$12))-32)/1.8/((((C374+0.4*'Cooling Tower &amp; Corrugated Fill'!$C$12))-32)/1.8+243.04)))/('Cooling Tower &amp; Corrugated Fill'!$C$14-(0.61094*EXP(17.625*(((C374+0.4*'Cooling Tower &amp; Corrugated Fill'!$C$12))-32)/1.8/((((C374+0.4*'Cooling Tower &amp; Corrugated Fill'!$C$12))-32)/1.8+243.04))))*(1061+0.444*((C374+0.4*'Cooling Tower &amp; Corrugated Fill'!$C$12))))-('Merkel Solver'!$C$4+'Cooling Tower &amp; Corrugated Fill'!$C$13*0.4*'Cooling Tower &amp; Corrugated Fill'!$C$12)</f>
        <v/>
      </c>
      <c r="F374" s="14">
        <f>(0.24*((C374+0.6*'Cooling Tower &amp; Corrugated Fill'!$C$12))+0.62198*(0.61094*EXP(17.625*(((C374+0.6*'Cooling Tower &amp; Corrugated Fill'!$C$12))-32)/1.8/((((C374+0.6*'Cooling Tower &amp; Corrugated Fill'!$C$12))-32)/1.8+243.04)))/('Cooling Tower &amp; Corrugated Fill'!$C$14-(0.61094*EXP(17.625*(((C374+0.6*'Cooling Tower &amp; Corrugated Fill'!$C$12))-32)/1.8/((((C374+0.6*'Cooling Tower &amp; Corrugated Fill'!$C$12))-32)/1.8+243.04))))*(1061+0.444*((C374+0.6*'Cooling Tower &amp; Corrugated Fill'!$C$12))))-('Merkel Solver'!$C$4+'Cooling Tower &amp; Corrugated Fill'!$C$13*0.6*'Cooling Tower &amp; Corrugated Fill'!$C$12)</f>
        <v/>
      </c>
      <c r="G374" s="14">
        <f>(0.24*((C374+0.9*'Cooling Tower &amp; Corrugated Fill'!$C$12))+0.62198*(0.61094*EXP(17.625*(((C374+0.9*'Cooling Tower &amp; Corrugated Fill'!$C$12))-32)/1.8/((((C374+0.9*'Cooling Tower &amp; Corrugated Fill'!$C$12))-32)/1.8+243.04)))/('Cooling Tower &amp; Corrugated Fill'!$C$14-(0.61094*EXP(17.625*(((C374+0.9*'Cooling Tower &amp; Corrugated Fill'!$C$12))-32)/1.8/((((C374+0.9*'Cooling Tower &amp; Corrugated Fill'!$C$12))-32)/1.8+243.04))))*(1061+0.444*((C374+0.9*'Cooling Tower &amp; Corrugated Fill'!$C$12))))-('Merkel Solver'!$C$4+'Cooling Tower &amp; Corrugated Fill'!$C$13*0.9*'Cooling Tower &amp; Corrugated Fill'!$C$12)</f>
        <v/>
      </c>
      <c r="H374" s="22">
        <f>IF(MIN(D374:G374)&lt;=0,99999,'Cooling Tower &amp; Corrugated Fill'!$C$12/4*(1/D374+1/E374+1/F374+1/G374))</f>
        <v/>
      </c>
    </row>
    <row r="375">
      <c r="B375" s="30" t="n">
        <v>36.9</v>
      </c>
      <c r="C375" s="12">
        <f>'Dashboard'!$C$9+B375</f>
        <v/>
      </c>
      <c r="D375" s="14">
        <f>(0.24*((C375+0.1*'Cooling Tower &amp; Corrugated Fill'!$C$12))+0.62198*(0.61094*EXP(17.625*(((C375+0.1*'Cooling Tower &amp; Corrugated Fill'!$C$12))-32)/1.8/((((C375+0.1*'Cooling Tower &amp; Corrugated Fill'!$C$12))-32)/1.8+243.04)))/('Cooling Tower &amp; Corrugated Fill'!$C$14-(0.61094*EXP(17.625*(((C375+0.1*'Cooling Tower &amp; Corrugated Fill'!$C$12))-32)/1.8/((((C375+0.1*'Cooling Tower &amp; Corrugated Fill'!$C$12))-32)/1.8+243.04))))*(1061+0.444*((C375+0.1*'Cooling Tower &amp; Corrugated Fill'!$C$12))))-('Merkel Solver'!$C$4+'Cooling Tower &amp; Corrugated Fill'!$C$13*0.1*'Cooling Tower &amp; Corrugated Fill'!$C$12)</f>
        <v/>
      </c>
      <c r="E375" s="14">
        <f>(0.24*((C375+0.4*'Cooling Tower &amp; Corrugated Fill'!$C$12))+0.62198*(0.61094*EXP(17.625*(((C375+0.4*'Cooling Tower &amp; Corrugated Fill'!$C$12))-32)/1.8/((((C375+0.4*'Cooling Tower &amp; Corrugated Fill'!$C$12))-32)/1.8+243.04)))/('Cooling Tower &amp; Corrugated Fill'!$C$14-(0.61094*EXP(17.625*(((C375+0.4*'Cooling Tower &amp; Corrugated Fill'!$C$12))-32)/1.8/((((C375+0.4*'Cooling Tower &amp; Corrugated Fill'!$C$12))-32)/1.8+243.04))))*(1061+0.444*((C375+0.4*'Cooling Tower &amp; Corrugated Fill'!$C$12))))-('Merkel Solver'!$C$4+'Cooling Tower &amp; Corrugated Fill'!$C$13*0.4*'Cooling Tower &amp; Corrugated Fill'!$C$12)</f>
        <v/>
      </c>
      <c r="F375" s="14">
        <f>(0.24*((C375+0.6*'Cooling Tower &amp; Corrugated Fill'!$C$12))+0.62198*(0.61094*EXP(17.625*(((C375+0.6*'Cooling Tower &amp; Corrugated Fill'!$C$12))-32)/1.8/((((C375+0.6*'Cooling Tower &amp; Corrugated Fill'!$C$12))-32)/1.8+243.04)))/('Cooling Tower &amp; Corrugated Fill'!$C$14-(0.61094*EXP(17.625*(((C375+0.6*'Cooling Tower &amp; Corrugated Fill'!$C$12))-32)/1.8/((((C375+0.6*'Cooling Tower &amp; Corrugated Fill'!$C$12))-32)/1.8+243.04))))*(1061+0.444*((C375+0.6*'Cooling Tower &amp; Corrugated Fill'!$C$12))))-('Merkel Solver'!$C$4+'Cooling Tower &amp; Corrugated Fill'!$C$13*0.6*'Cooling Tower &amp; Corrugated Fill'!$C$12)</f>
        <v/>
      </c>
      <c r="G375" s="14">
        <f>(0.24*((C375+0.9*'Cooling Tower &amp; Corrugated Fill'!$C$12))+0.62198*(0.61094*EXP(17.625*(((C375+0.9*'Cooling Tower &amp; Corrugated Fill'!$C$12))-32)/1.8/((((C375+0.9*'Cooling Tower &amp; Corrugated Fill'!$C$12))-32)/1.8+243.04)))/('Cooling Tower &amp; Corrugated Fill'!$C$14-(0.61094*EXP(17.625*(((C375+0.9*'Cooling Tower &amp; Corrugated Fill'!$C$12))-32)/1.8/((((C375+0.9*'Cooling Tower &amp; Corrugated Fill'!$C$12))-32)/1.8+243.04))))*(1061+0.444*((C375+0.9*'Cooling Tower &amp; Corrugated Fill'!$C$12))))-('Merkel Solver'!$C$4+'Cooling Tower &amp; Corrugated Fill'!$C$13*0.9*'Cooling Tower &amp; Corrugated Fill'!$C$12)</f>
        <v/>
      </c>
      <c r="H375" s="22">
        <f>IF(MIN(D375:G375)&lt;=0,99999,'Cooling Tower &amp; Corrugated Fill'!$C$12/4*(1/D375+1/E375+1/F375+1/G375))</f>
        <v/>
      </c>
    </row>
    <row r="376">
      <c r="B376" s="30" t="n">
        <v>37</v>
      </c>
      <c r="C376" s="12">
        <f>'Dashboard'!$C$9+B376</f>
        <v/>
      </c>
      <c r="D376" s="14">
        <f>(0.24*((C376+0.1*'Cooling Tower &amp; Corrugated Fill'!$C$12))+0.62198*(0.61094*EXP(17.625*(((C376+0.1*'Cooling Tower &amp; Corrugated Fill'!$C$12))-32)/1.8/((((C376+0.1*'Cooling Tower &amp; Corrugated Fill'!$C$12))-32)/1.8+243.04)))/('Cooling Tower &amp; Corrugated Fill'!$C$14-(0.61094*EXP(17.625*(((C376+0.1*'Cooling Tower &amp; Corrugated Fill'!$C$12))-32)/1.8/((((C376+0.1*'Cooling Tower &amp; Corrugated Fill'!$C$12))-32)/1.8+243.04))))*(1061+0.444*((C376+0.1*'Cooling Tower &amp; Corrugated Fill'!$C$12))))-('Merkel Solver'!$C$4+'Cooling Tower &amp; Corrugated Fill'!$C$13*0.1*'Cooling Tower &amp; Corrugated Fill'!$C$12)</f>
        <v/>
      </c>
      <c r="E376" s="14">
        <f>(0.24*((C376+0.4*'Cooling Tower &amp; Corrugated Fill'!$C$12))+0.62198*(0.61094*EXP(17.625*(((C376+0.4*'Cooling Tower &amp; Corrugated Fill'!$C$12))-32)/1.8/((((C376+0.4*'Cooling Tower &amp; Corrugated Fill'!$C$12))-32)/1.8+243.04)))/('Cooling Tower &amp; Corrugated Fill'!$C$14-(0.61094*EXP(17.625*(((C376+0.4*'Cooling Tower &amp; Corrugated Fill'!$C$12))-32)/1.8/((((C376+0.4*'Cooling Tower &amp; Corrugated Fill'!$C$12))-32)/1.8+243.04))))*(1061+0.444*((C376+0.4*'Cooling Tower &amp; Corrugated Fill'!$C$12))))-('Merkel Solver'!$C$4+'Cooling Tower &amp; Corrugated Fill'!$C$13*0.4*'Cooling Tower &amp; Corrugated Fill'!$C$12)</f>
        <v/>
      </c>
      <c r="F376" s="14">
        <f>(0.24*((C376+0.6*'Cooling Tower &amp; Corrugated Fill'!$C$12))+0.62198*(0.61094*EXP(17.625*(((C376+0.6*'Cooling Tower &amp; Corrugated Fill'!$C$12))-32)/1.8/((((C376+0.6*'Cooling Tower &amp; Corrugated Fill'!$C$12))-32)/1.8+243.04)))/('Cooling Tower &amp; Corrugated Fill'!$C$14-(0.61094*EXP(17.625*(((C376+0.6*'Cooling Tower &amp; Corrugated Fill'!$C$12))-32)/1.8/((((C376+0.6*'Cooling Tower &amp; Corrugated Fill'!$C$12))-32)/1.8+243.04))))*(1061+0.444*((C376+0.6*'Cooling Tower &amp; Corrugated Fill'!$C$12))))-('Merkel Solver'!$C$4+'Cooling Tower &amp; Corrugated Fill'!$C$13*0.6*'Cooling Tower &amp; Corrugated Fill'!$C$12)</f>
        <v/>
      </c>
      <c r="G376" s="14">
        <f>(0.24*((C376+0.9*'Cooling Tower &amp; Corrugated Fill'!$C$12))+0.62198*(0.61094*EXP(17.625*(((C376+0.9*'Cooling Tower &amp; Corrugated Fill'!$C$12))-32)/1.8/((((C376+0.9*'Cooling Tower &amp; Corrugated Fill'!$C$12))-32)/1.8+243.04)))/('Cooling Tower &amp; Corrugated Fill'!$C$14-(0.61094*EXP(17.625*(((C376+0.9*'Cooling Tower &amp; Corrugated Fill'!$C$12))-32)/1.8/((((C376+0.9*'Cooling Tower &amp; Corrugated Fill'!$C$12))-32)/1.8+243.04))))*(1061+0.444*((C376+0.9*'Cooling Tower &amp; Corrugated Fill'!$C$12))))-('Merkel Solver'!$C$4+'Cooling Tower &amp; Corrugated Fill'!$C$13*0.9*'Cooling Tower &amp; Corrugated Fill'!$C$12)</f>
        <v/>
      </c>
      <c r="H376" s="22">
        <f>IF(MIN(D376:G376)&lt;=0,99999,'Cooling Tower &amp; Corrugated Fill'!$C$12/4*(1/D376+1/E376+1/F376+1/G376))</f>
        <v/>
      </c>
    </row>
    <row r="377">
      <c r="B377" s="30" t="n">
        <v>37.1</v>
      </c>
      <c r="C377" s="12">
        <f>'Dashboard'!$C$9+B377</f>
        <v/>
      </c>
      <c r="D377" s="14">
        <f>(0.24*((C377+0.1*'Cooling Tower &amp; Corrugated Fill'!$C$12))+0.62198*(0.61094*EXP(17.625*(((C377+0.1*'Cooling Tower &amp; Corrugated Fill'!$C$12))-32)/1.8/((((C377+0.1*'Cooling Tower &amp; Corrugated Fill'!$C$12))-32)/1.8+243.04)))/('Cooling Tower &amp; Corrugated Fill'!$C$14-(0.61094*EXP(17.625*(((C377+0.1*'Cooling Tower &amp; Corrugated Fill'!$C$12))-32)/1.8/((((C377+0.1*'Cooling Tower &amp; Corrugated Fill'!$C$12))-32)/1.8+243.04))))*(1061+0.444*((C377+0.1*'Cooling Tower &amp; Corrugated Fill'!$C$12))))-('Merkel Solver'!$C$4+'Cooling Tower &amp; Corrugated Fill'!$C$13*0.1*'Cooling Tower &amp; Corrugated Fill'!$C$12)</f>
        <v/>
      </c>
      <c r="E377" s="14">
        <f>(0.24*((C377+0.4*'Cooling Tower &amp; Corrugated Fill'!$C$12))+0.62198*(0.61094*EXP(17.625*(((C377+0.4*'Cooling Tower &amp; Corrugated Fill'!$C$12))-32)/1.8/((((C377+0.4*'Cooling Tower &amp; Corrugated Fill'!$C$12))-32)/1.8+243.04)))/('Cooling Tower &amp; Corrugated Fill'!$C$14-(0.61094*EXP(17.625*(((C377+0.4*'Cooling Tower &amp; Corrugated Fill'!$C$12))-32)/1.8/((((C377+0.4*'Cooling Tower &amp; Corrugated Fill'!$C$12))-32)/1.8+243.04))))*(1061+0.444*((C377+0.4*'Cooling Tower &amp; Corrugated Fill'!$C$12))))-('Merkel Solver'!$C$4+'Cooling Tower &amp; Corrugated Fill'!$C$13*0.4*'Cooling Tower &amp; Corrugated Fill'!$C$12)</f>
        <v/>
      </c>
      <c r="F377" s="14">
        <f>(0.24*((C377+0.6*'Cooling Tower &amp; Corrugated Fill'!$C$12))+0.62198*(0.61094*EXP(17.625*(((C377+0.6*'Cooling Tower &amp; Corrugated Fill'!$C$12))-32)/1.8/((((C377+0.6*'Cooling Tower &amp; Corrugated Fill'!$C$12))-32)/1.8+243.04)))/('Cooling Tower &amp; Corrugated Fill'!$C$14-(0.61094*EXP(17.625*(((C377+0.6*'Cooling Tower &amp; Corrugated Fill'!$C$12))-32)/1.8/((((C377+0.6*'Cooling Tower &amp; Corrugated Fill'!$C$12))-32)/1.8+243.04))))*(1061+0.444*((C377+0.6*'Cooling Tower &amp; Corrugated Fill'!$C$12))))-('Merkel Solver'!$C$4+'Cooling Tower &amp; Corrugated Fill'!$C$13*0.6*'Cooling Tower &amp; Corrugated Fill'!$C$12)</f>
        <v/>
      </c>
      <c r="G377" s="14">
        <f>(0.24*((C377+0.9*'Cooling Tower &amp; Corrugated Fill'!$C$12))+0.62198*(0.61094*EXP(17.625*(((C377+0.9*'Cooling Tower &amp; Corrugated Fill'!$C$12))-32)/1.8/((((C377+0.9*'Cooling Tower &amp; Corrugated Fill'!$C$12))-32)/1.8+243.04)))/('Cooling Tower &amp; Corrugated Fill'!$C$14-(0.61094*EXP(17.625*(((C377+0.9*'Cooling Tower &amp; Corrugated Fill'!$C$12))-32)/1.8/((((C377+0.9*'Cooling Tower &amp; Corrugated Fill'!$C$12))-32)/1.8+243.04))))*(1061+0.444*((C377+0.9*'Cooling Tower &amp; Corrugated Fill'!$C$12))))-('Merkel Solver'!$C$4+'Cooling Tower &amp; Corrugated Fill'!$C$13*0.9*'Cooling Tower &amp; Corrugated Fill'!$C$12)</f>
        <v/>
      </c>
      <c r="H377" s="22">
        <f>IF(MIN(D377:G377)&lt;=0,99999,'Cooling Tower &amp; Corrugated Fill'!$C$12/4*(1/D377+1/E377+1/F377+1/G377))</f>
        <v/>
      </c>
    </row>
    <row r="378">
      <c r="B378" s="30" t="n">
        <v>37.2</v>
      </c>
      <c r="C378" s="12">
        <f>'Dashboard'!$C$9+B378</f>
        <v/>
      </c>
      <c r="D378" s="14">
        <f>(0.24*((C378+0.1*'Cooling Tower &amp; Corrugated Fill'!$C$12))+0.62198*(0.61094*EXP(17.625*(((C378+0.1*'Cooling Tower &amp; Corrugated Fill'!$C$12))-32)/1.8/((((C378+0.1*'Cooling Tower &amp; Corrugated Fill'!$C$12))-32)/1.8+243.04)))/('Cooling Tower &amp; Corrugated Fill'!$C$14-(0.61094*EXP(17.625*(((C378+0.1*'Cooling Tower &amp; Corrugated Fill'!$C$12))-32)/1.8/((((C378+0.1*'Cooling Tower &amp; Corrugated Fill'!$C$12))-32)/1.8+243.04))))*(1061+0.444*((C378+0.1*'Cooling Tower &amp; Corrugated Fill'!$C$12))))-('Merkel Solver'!$C$4+'Cooling Tower &amp; Corrugated Fill'!$C$13*0.1*'Cooling Tower &amp; Corrugated Fill'!$C$12)</f>
        <v/>
      </c>
      <c r="E378" s="14">
        <f>(0.24*((C378+0.4*'Cooling Tower &amp; Corrugated Fill'!$C$12))+0.62198*(0.61094*EXP(17.625*(((C378+0.4*'Cooling Tower &amp; Corrugated Fill'!$C$12))-32)/1.8/((((C378+0.4*'Cooling Tower &amp; Corrugated Fill'!$C$12))-32)/1.8+243.04)))/('Cooling Tower &amp; Corrugated Fill'!$C$14-(0.61094*EXP(17.625*(((C378+0.4*'Cooling Tower &amp; Corrugated Fill'!$C$12))-32)/1.8/((((C378+0.4*'Cooling Tower &amp; Corrugated Fill'!$C$12))-32)/1.8+243.04))))*(1061+0.444*((C378+0.4*'Cooling Tower &amp; Corrugated Fill'!$C$12))))-('Merkel Solver'!$C$4+'Cooling Tower &amp; Corrugated Fill'!$C$13*0.4*'Cooling Tower &amp; Corrugated Fill'!$C$12)</f>
        <v/>
      </c>
      <c r="F378" s="14">
        <f>(0.24*((C378+0.6*'Cooling Tower &amp; Corrugated Fill'!$C$12))+0.62198*(0.61094*EXP(17.625*(((C378+0.6*'Cooling Tower &amp; Corrugated Fill'!$C$12))-32)/1.8/((((C378+0.6*'Cooling Tower &amp; Corrugated Fill'!$C$12))-32)/1.8+243.04)))/('Cooling Tower &amp; Corrugated Fill'!$C$14-(0.61094*EXP(17.625*(((C378+0.6*'Cooling Tower &amp; Corrugated Fill'!$C$12))-32)/1.8/((((C378+0.6*'Cooling Tower &amp; Corrugated Fill'!$C$12))-32)/1.8+243.04))))*(1061+0.444*((C378+0.6*'Cooling Tower &amp; Corrugated Fill'!$C$12))))-('Merkel Solver'!$C$4+'Cooling Tower &amp; Corrugated Fill'!$C$13*0.6*'Cooling Tower &amp; Corrugated Fill'!$C$12)</f>
        <v/>
      </c>
      <c r="G378" s="14">
        <f>(0.24*((C378+0.9*'Cooling Tower &amp; Corrugated Fill'!$C$12))+0.62198*(0.61094*EXP(17.625*(((C378+0.9*'Cooling Tower &amp; Corrugated Fill'!$C$12))-32)/1.8/((((C378+0.9*'Cooling Tower &amp; Corrugated Fill'!$C$12))-32)/1.8+243.04)))/('Cooling Tower &amp; Corrugated Fill'!$C$14-(0.61094*EXP(17.625*(((C378+0.9*'Cooling Tower &amp; Corrugated Fill'!$C$12))-32)/1.8/((((C378+0.9*'Cooling Tower &amp; Corrugated Fill'!$C$12))-32)/1.8+243.04))))*(1061+0.444*((C378+0.9*'Cooling Tower &amp; Corrugated Fill'!$C$12))))-('Merkel Solver'!$C$4+'Cooling Tower &amp; Corrugated Fill'!$C$13*0.9*'Cooling Tower &amp; Corrugated Fill'!$C$12)</f>
        <v/>
      </c>
      <c r="H378" s="22">
        <f>IF(MIN(D378:G378)&lt;=0,99999,'Cooling Tower &amp; Corrugated Fill'!$C$12/4*(1/D378+1/E378+1/F378+1/G378))</f>
        <v/>
      </c>
    </row>
    <row r="379">
      <c r="B379" s="30" t="n">
        <v>37.3</v>
      </c>
      <c r="C379" s="12">
        <f>'Dashboard'!$C$9+B379</f>
        <v/>
      </c>
      <c r="D379" s="14">
        <f>(0.24*((C379+0.1*'Cooling Tower &amp; Corrugated Fill'!$C$12))+0.62198*(0.61094*EXP(17.625*(((C379+0.1*'Cooling Tower &amp; Corrugated Fill'!$C$12))-32)/1.8/((((C379+0.1*'Cooling Tower &amp; Corrugated Fill'!$C$12))-32)/1.8+243.04)))/('Cooling Tower &amp; Corrugated Fill'!$C$14-(0.61094*EXP(17.625*(((C379+0.1*'Cooling Tower &amp; Corrugated Fill'!$C$12))-32)/1.8/((((C379+0.1*'Cooling Tower &amp; Corrugated Fill'!$C$12))-32)/1.8+243.04))))*(1061+0.444*((C379+0.1*'Cooling Tower &amp; Corrugated Fill'!$C$12))))-('Merkel Solver'!$C$4+'Cooling Tower &amp; Corrugated Fill'!$C$13*0.1*'Cooling Tower &amp; Corrugated Fill'!$C$12)</f>
        <v/>
      </c>
      <c r="E379" s="14">
        <f>(0.24*((C379+0.4*'Cooling Tower &amp; Corrugated Fill'!$C$12))+0.62198*(0.61094*EXP(17.625*(((C379+0.4*'Cooling Tower &amp; Corrugated Fill'!$C$12))-32)/1.8/((((C379+0.4*'Cooling Tower &amp; Corrugated Fill'!$C$12))-32)/1.8+243.04)))/('Cooling Tower &amp; Corrugated Fill'!$C$14-(0.61094*EXP(17.625*(((C379+0.4*'Cooling Tower &amp; Corrugated Fill'!$C$12))-32)/1.8/((((C379+0.4*'Cooling Tower &amp; Corrugated Fill'!$C$12))-32)/1.8+243.04))))*(1061+0.444*((C379+0.4*'Cooling Tower &amp; Corrugated Fill'!$C$12))))-('Merkel Solver'!$C$4+'Cooling Tower &amp; Corrugated Fill'!$C$13*0.4*'Cooling Tower &amp; Corrugated Fill'!$C$12)</f>
        <v/>
      </c>
      <c r="F379" s="14">
        <f>(0.24*((C379+0.6*'Cooling Tower &amp; Corrugated Fill'!$C$12))+0.62198*(0.61094*EXP(17.625*(((C379+0.6*'Cooling Tower &amp; Corrugated Fill'!$C$12))-32)/1.8/((((C379+0.6*'Cooling Tower &amp; Corrugated Fill'!$C$12))-32)/1.8+243.04)))/('Cooling Tower &amp; Corrugated Fill'!$C$14-(0.61094*EXP(17.625*(((C379+0.6*'Cooling Tower &amp; Corrugated Fill'!$C$12))-32)/1.8/((((C379+0.6*'Cooling Tower &amp; Corrugated Fill'!$C$12))-32)/1.8+243.04))))*(1061+0.444*((C379+0.6*'Cooling Tower &amp; Corrugated Fill'!$C$12))))-('Merkel Solver'!$C$4+'Cooling Tower &amp; Corrugated Fill'!$C$13*0.6*'Cooling Tower &amp; Corrugated Fill'!$C$12)</f>
        <v/>
      </c>
      <c r="G379" s="14">
        <f>(0.24*((C379+0.9*'Cooling Tower &amp; Corrugated Fill'!$C$12))+0.62198*(0.61094*EXP(17.625*(((C379+0.9*'Cooling Tower &amp; Corrugated Fill'!$C$12))-32)/1.8/((((C379+0.9*'Cooling Tower &amp; Corrugated Fill'!$C$12))-32)/1.8+243.04)))/('Cooling Tower &amp; Corrugated Fill'!$C$14-(0.61094*EXP(17.625*(((C379+0.9*'Cooling Tower &amp; Corrugated Fill'!$C$12))-32)/1.8/((((C379+0.9*'Cooling Tower &amp; Corrugated Fill'!$C$12))-32)/1.8+243.04))))*(1061+0.444*((C379+0.9*'Cooling Tower &amp; Corrugated Fill'!$C$12))))-('Merkel Solver'!$C$4+'Cooling Tower &amp; Corrugated Fill'!$C$13*0.9*'Cooling Tower &amp; Corrugated Fill'!$C$12)</f>
        <v/>
      </c>
      <c r="H379" s="22">
        <f>IF(MIN(D379:G379)&lt;=0,99999,'Cooling Tower &amp; Corrugated Fill'!$C$12/4*(1/D379+1/E379+1/F379+1/G379))</f>
        <v/>
      </c>
    </row>
    <row r="380">
      <c r="B380" s="30" t="n">
        <v>37.4</v>
      </c>
      <c r="C380" s="12">
        <f>'Dashboard'!$C$9+B380</f>
        <v/>
      </c>
      <c r="D380" s="14">
        <f>(0.24*((C380+0.1*'Cooling Tower &amp; Corrugated Fill'!$C$12))+0.62198*(0.61094*EXP(17.625*(((C380+0.1*'Cooling Tower &amp; Corrugated Fill'!$C$12))-32)/1.8/((((C380+0.1*'Cooling Tower &amp; Corrugated Fill'!$C$12))-32)/1.8+243.04)))/('Cooling Tower &amp; Corrugated Fill'!$C$14-(0.61094*EXP(17.625*(((C380+0.1*'Cooling Tower &amp; Corrugated Fill'!$C$12))-32)/1.8/((((C380+0.1*'Cooling Tower &amp; Corrugated Fill'!$C$12))-32)/1.8+243.04))))*(1061+0.444*((C380+0.1*'Cooling Tower &amp; Corrugated Fill'!$C$12))))-('Merkel Solver'!$C$4+'Cooling Tower &amp; Corrugated Fill'!$C$13*0.1*'Cooling Tower &amp; Corrugated Fill'!$C$12)</f>
        <v/>
      </c>
      <c r="E380" s="14">
        <f>(0.24*((C380+0.4*'Cooling Tower &amp; Corrugated Fill'!$C$12))+0.62198*(0.61094*EXP(17.625*(((C380+0.4*'Cooling Tower &amp; Corrugated Fill'!$C$12))-32)/1.8/((((C380+0.4*'Cooling Tower &amp; Corrugated Fill'!$C$12))-32)/1.8+243.04)))/('Cooling Tower &amp; Corrugated Fill'!$C$14-(0.61094*EXP(17.625*(((C380+0.4*'Cooling Tower &amp; Corrugated Fill'!$C$12))-32)/1.8/((((C380+0.4*'Cooling Tower &amp; Corrugated Fill'!$C$12))-32)/1.8+243.04))))*(1061+0.444*((C380+0.4*'Cooling Tower &amp; Corrugated Fill'!$C$12))))-('Merkel Solver'!$C$4+'Cooling Tower &amp; Corrugated Fill'!$C$13*0.4*'Cooling Tower &amp; Corrugated Fill'!$C$12)</f>
        <v/>
      </c>
      <c r="F380" s="14">
        <f>(0.24*((C380+0.6*'Cooling Tower &amp; Corrugated Fill'!$C$12))+0.62198*(0.61094*EXP(17.625*(((C380+0.6*'Cooling Tower &amp; Corrugated Fill'!$C$12))-32)/1.8/((((C380+0.6*'Cooling Tower &amp; Corrugated Fill'!$C$12))-32)/1.8+243.04)))/('Cooling Tower &amp; Corrugated Fill'!$C$14-(0.61094*EXP(17.625*(((C380+0.6*'Cooling Tower &amp; Corrugated Fill'!$C$12))-32)/1.8/((((C380+0.6*'Cooling Tower &amp; Corrugated Fill'!$C$12))-32)/1.8+243.04))))*(1061+0.444*((C380+0.6*'Cooling Tower &amp; Corrugated Fill'!$C$12))))-('Merkel Solver'!$C$4+'Cooling Tower &amp; Corrugated Fill'!$C$13*0.6*'Cooling Tower &amp; Corrugated Fill'!$C$12)</f>
        <v/>
      </c>
      <c r="G380" s="14">
        <f>(0.24*((C380+0.9*'Cooling Tower &amp; Corrugated Fill'!$C$12))+0.62198*(0.61094*EXP(17.625*(((C380+0.9*'Cooling Tower &amp; Corrugated Fill'!$C$12))-32)/1.8/((((C380+0.9*'Cooling Tower &amp; Corrugated Fill'!$C$12))-32)/1.8+243.04)))/('Cooling Tower &amp; Corrugated Fill'!$C$14-(0.61094*EXP(17.625*(((C380+0.9*'Cooling Tower &amp; Corrugated Fill'!$C$12))-32)/1.8/((((C380+0.9*'Cooling Tower &amp; Corrugated Fill'!$C$12))-32)/1.8+243.04))))*(1061+0.444*((C380+0.9*'Cooling Tower &amp; Corrugated Fill'!$C$12))))-('Merkel Solver'!$C$4+'Cooling Tower &amp; Corrugated Fill'!$C$13*0.9*'Cooling Tower &amp; Corrugated Fill'!$C$12)</f>
        <v/>
      </c>
      <c r="H380" s="22">
        <f>IF(MIN(D380:G380)&lt;=0,99999,'Cooling Tower &amp; Corrugated Fill'!$C$12/4*(1/D380+1/E380+1/F380+1/G380))</f>
        <v/>
      </c>
    </row>
    <row r="381">
      <c r="B381" s="30" t="n">
        <v>37.5</v>
      </c>
      <c r="C381" s="12">
        <f>'Dashboard'!$C$9+B381</f>
        <v/>
      </c>
      <c r="D381" s="14">
        <f>(0.24*((C381+0.1*'Cooling Tower &amp; Corrugated Fill'!$C$12))+0.62198*(0.61094*EXP(17.625*(((C381+0.1*'Cooling Tower &amp; Corrugated Fill'!$C$12))-32)/1.8/((((C381+0.1*'Cooling Tower &amp; Corrugated Fill'!$C$12))-32)/1.8+243.04)))/('Cooling Tower &amp; Corrugated Fill'!$C$14-(0.61094*EXP(17.625*(((C381+0.1*'Cooling Tower &amp; Corrugated Fill'!$C$12))-32)/1.8/((((C381+0.1*'Cooling Tower &amp; Corrugated Fill'!$C$12))-32)/1.8+243.04))))*(1061+0.444*((C381+0.1*'Cooling Tower &amp; Corrugated Fill'!$C$12))))-('Merkel Solver'!$C$4+'Cooling Tower &amp; Corrugated Fill'!$C$13*0.1*'Cooling Tower &amp; Corrugated Fill'!$C$12)</f>
        <v/>
      </c>
      <c r="E381" s="14">
        <f>(0.24*((C381+0.4*'Cooling Tower &amp; Corrugated Fill'!$C$12))+0.62198*(0.61094*EXP(17.625*(((C381+0.4*'Cooling Tower &amp; Corrugated Fill'!$C$12))-32)/1.8/((((C381+0.4*'Cooling Tower &amp; Corrugated Fill'!$C$12))-32)/1.8+243.04)))/('Cooling Tower &amp; Corrugated Fill'!$C$14-(0.61094*EXP(17.625*(((C381+0.4*'Cooling Tower &amp; Corrugated Fill'!$C$12))-32)/1.8/((((C381+0.4*'Cooling Tower &amp; Corrugated Fill'!$C$12))-32)/1.8+243.04))))*(1061+0.444*((C381+0.4*'Cooling Tower &amp; Corrugated Fill'!$C$12))))-('Merkel Solver'!$C$4+'Cooling Tower &amp; Corrugated Fill'!$C$13*0.4*'Cooling Tower &amp; Corrugated Fill'!$C$12)</f>
        <v/>
      </c>
      <c r="F381" s="14">
        <f>(0.24*((C381+0.6*'Cooling Tower &amp; Corrugated Fill'!$C$12))+0.62198*(0.61094*EXP(17.625*(((C381+0.6*'Cooling Tower &amp; Corrugated Fill'!$C$12))-32)/1.8/((((C381+0.6*'Cooling Tower &amp; Corrugated Fill'!$C$12))-32)/1.8+243.04)))/('Cooling Tower &amp; Corrugated Fill'!$C$14-(0.61094*EXP(17.625*(((C381+0.6*'Cooling Tower &amp; Corrugated Fill'!$C$12))-32)/1.8/((((C381+0.6*'Cooling Tower &amp; Corrugated Fill'!$C$12))-32)/1.8+243.04))))*(1061+0.444*((C381+0.6*'Cooling Tower &amp; Corrugated Fill'!$C$12))))-('Merkel Solver'!$C$4+'Cooling Tower &amp; Corrugated Fill'!$C$13*0.6*'Cooling Tower &amp; Corrugated Fill'!$C$12)</f>
        <v/>
      </c>
      <c r="G381" s="14">
        <f>(0.24*((C381+0.9*'Cooling Tower &amp; Corrugated Fill'!$C$12))+0.62198*(0.61094*EXP(17.625*(((C381+0.9*'Cooling Tower &amp; Corrugated Fill'!$C$12))-32)/1.8/((((C381+0.9*'Cooling Tower &amp; Corrugated Fill'!$C$12))-32)/1.8+243.04)))/('Cooling Tower &amp; Corrugated Fill'!$C$14-(0.61094*EXP(17.625*(((C381+0.9*'Cooling Tower &amp; Corrugated Fill'!$C$12))-32)/1.8/((((C381+0.9*'Cooling Tower &amp; Corrugated Fill'!$C$12))-32)/1.8+243.04))))*(1061+0.444*((C381+0.9*'Cooling Tower &amp; Corrugated Fill'!$C$12))))-('Merkel Solver'!$C$4+'Cooling Tower &amp; Corrugated Fill'!$C$13*0.9*'Cooling Tower &amp; Corrugated Fill'!$C$12)</f>
        <v/>
      </c>
      <c r="H381" s="22">
        <f>IF(MIN(D381:G381)&lt;=0,99999,'Cooling Tower &amp; Corrugated Fill'!$C$12/4*(1/D381+1/E381+1/F381+1/G381))</f>
        <v/>
      </c>
    </row>
    <row r="382">
      <c r="B382" s="30" t="n">
        <v>37.6</v>
      </c>
      <c r="C382" s="12">
        <f>'Dashboard'!$C$9+B382</f>
        <v/>
      </c>
      <c r="D382" s="14">
        <f>(0.24*((C382+0.1*'Cooling Tower &amp; Corrugated Fill'!$C$12))+0.62198*(0.61094*EXP(17.625*(((C382+0.1*'Cooling Tower &amp; Corrugated Fill'!$C$12))-32)/1.8/((((C382+0.1*'Cooling Tower &amp; Corrugated Fill'!$C$12))-32)/1.8+243.04)))/('Cooling Tower &amp; Corrugated Fill'!$C$14-(0.61094*EXP(17.625*(((C382+0.1*'Cooling Tower &amp; Corrugated Fill'!$C$12))-32)/1.8/((((C382+0.1*'Cooling Tower &amp; Corrugated Fill'!$C$12))-32)/1.8+243.04))))*(1061+0.444*((C382+0.1*'Cooling Tower &amp; Corrugated Fill'!$C$12))))-('Merkel Solver'!$C$4+'Cooling Tower &amp; Corrugated Fill'!$C$13*0.1*'Cooling Tower &amp; Corrugated Fill'!$C$12)</f>
        <v/>
      </c>
      <c r="E382" s="14">
        <f>(0.24*((C382+0.4*'Cooling Tower &amp; Corrugated Fill'!$C$12))+0.62198*(0.61094*EXP(17.625*(((C382+0.4*'Cooling Tower &amp; Corrugated Fill'!$C$12))-32)/1.8/((((C382+0.4*'Cooling Tower &amp; Corrugated Fill'!$C$12))-32)/1.8+243.04)))/('Cooling Tower &amp; Corrugated Fill'!$C$14-(0.61094*EXP(17.625*(((C382+0.4*'Cooling Tower &amp; Corrugated Fill'!$C$12))-32)/1.8/((((C382+0.4*'Cooling Tower &amp; Corrugated Fill'!$C$12))-32)/1.8+243.04))))*(1061+0.444*((C382+0.4*'Cooling Tower &amp; Corrugated Fill'!$C$12))))-('Merkel Solver'!$C$4+'Cooling Tower &amp; Corrugated Fill'!$C$13*0.4*'Cooling Tower &amp; Corrugated Fill'!$C$12)</f>
        <v/>
      </c>
      <c r="F382" s="14">
        <f>(0.24*((C382+0.6*'Cooling Tower &amp; Corrugated Fill'!$C$12))+0.62198*(0.61094*EXP(17.625*(((C382+0.6*'Cooling Tower &amp; Corrugated Fill'!$C$12))-32)/1.8/((((C382+0.6*'Cooling Tower &amp; Corrugated Fill'!$C$12))-32)/1.8+243.04)))/('Cooling Tower &amp; Corrugated Fill'!$C$14-(0.61094*EXP(17.625*(((C382+0.6*'Cooling Tower &amp; Corrugated Fill'!$C$12))-32)/1.8/((((C382+0.6*'Cooling Tower &amp; Corrugated Fill'!$C$12))-32)/1.8+243.04))))*(1061+0.444*((C382+0.6*'Cooling Tower &amp; Corrugated Fill'!$C$12))))-('Merkel Solver'!$C$4+'Cooling Tower &amp; Corrugated Fill'!$C$13*0.6*'Cooling Tower &amp; Corrugated Fill'!$C$12)</f>
        <v/>
      </c>
      <c r="G382" s="14">
        <f>(0.24*((C382+0.9*'Cooling Tower &amp; Corrugated Fill'!$C$12))+0.62198*(0.61094*EXP(17.625*(((C382+0.9*'Cooling Tower &amp; Corrugated Fill'!$C$12))-32)/1.8/((((C382+0.9*'Cooling Tower &amp; Corrugated Fill'!$C$12))-32)/1.8+243.04)))/('Cooling Tower &amp; Corrugated Fill'!$C$14-(0.61094*EXP(17.625*(((C382+0.9*'Cooling Tower &amp; Corrugated Fill'!$C$12))-32)/1.8/((((C382+0.9*'Cooling Tower &amp; Corrugated Fill'!$C$12))-32)/1.8+243.04))))*(1061+0.444*((C382+0.9*'Cooling Tower &amp; Corrugated Fill'!$C$12))))-('Merkel Solver'!$C$4+'Cooling Tower &amp; Corrugated Fill'!$C$13*0.9*'Cooling Tower &amp; Corrugated Fill'!$C$12)</f>
        <v/>
      </c>
      <c r="H382" s="22">
        <f>IF(MIN(D382:G382)&lt;=0,99999,'Cooling Tower &amp; Corrugated Fill'!$C$12/4*(1/D382+1/E382+1/F382+1/G382))</f>
        <v/>
      </c>
    </row>
    <row r="383">
      <c r="B383" s="30" t="n">
        <v>37.7</v>
      </c>
      <c r="C383" s="12">
        <f>'Dashboard'!$C$9+B383</f>
        <v/>
      </c>
      <c r="D383" s="14">
        <f>(0.24*((C383+0.1*'Cooling Tower &amp; Corrugated Fill'!$C$12))+0.62198*(0.61094*EXP(17.625*(((C383+0.1*'Cooling Tower &amp; Corrugated Fill'!$C$12))-32)/1.8/((((C383+0.1*'Cooling Tower &amp; Corrugated Fill'!$C$12))-32)/1.8+243.04)))/('Cooling Tower &amp; Corrugated Fill'!$C$14-(0.61094*EXP(17.625*(((C383+0.1*'Cooling Tower &amp; Corrugated Fill'!$C$12))-32)/1.8/((((C383+0.1*'Cooling Tower &amp; Corrugated Fill'!$C$12))-32)/1.8+243.04))))*(1061+0.444*((C383+0.1*'Cooling Tower &amp; Corrugated Fill'!$C$12))))-('Merkel Solver'!$C$4+'Cooling Tower &amp; Corrugated Fill'!$C$13*0.1*'Cooling Tower &amp; Corrugated Fill'!$C$12)</f>
        <v/>
      </c>
      <c r="E383" s="14">
        <f>(0.24*((C383+0.4*'Cooling Tower &amp; Corrugated Fill'!$C$12))+0.62198*(0.61094*EXP(17.625*(((C383+0.4*'Cooling Tower &amp; Corrugated Fill'!$C$12))-32)/1.8/((((C383+0.4*'Cooling Tower &amp; Corrugated Fill'!$C$12))-32)/1.8+243.04)))/('Cooling Tower &amp; Corrugated Fill'!$C$14-(0.61094*EXP(17.625*(((C383+0.4*'Cooling Tower &amp; Corrugated Fill'!$C$12))-32)/1.8/((((C383+0.4*'Cooling Tower &amp; Corrugated Fill'!$C$12))-32)/1.8+243.04))))*(1061+0.444*((C383+0.4*'Cooling Tower &amp; Corrugated Fill'!$C$12))))-('Merkel Solver'!$C$4+'Cooling Tower &amp; Corrugated Fill'!$C$13*0.4*'Cooling Tower &amp; Corrugated Fill'!$C$12)</f>
        <v/>
      </c>
      <c r="F383" s="14">
        <f>(0.24*((C383+0.6*'Cooling Tower &amp; Corrugated Fill'!$C$12))+0.62198*(0.61094*EXP(17.625*(((C383+0.6*'Cooling Tower &amp; Corrugated Fill'!$C$12))-32)/1.8/((((C383+0.6*'Cooling Tower &amp; Corrugated Fill'!$C$12))-32)/1.8+243.04)))/('Cooling Tower &amp; Corrugated Fill'!$C$14-(0.61094*EXP(17.625*(((C383+0.6*'Cooling Tower &amp; Corrugated Fill'!$C$12))-32)/1.8/((((C383+0.6*'Cooling Tower &amp; Corrugated Fill'!$C$12))-32)/1.8+243.04))))*(1061+0.444*((C383+0.6*'Cooling Tower &amp; Corrugated Fill'!$C$12))))-('Merkel Solver'!$C$4+'Cooling Tower &amp; Corrugated Fill'!$C$13*0.6*'Cooling Tower &amp; Corrugated Fill'!$C$12)</f>
        <v/>
      </c>
      <c r="G383" s="14">
        <f>(0.24*((C383+0.9*'Cooling Tower &amp; Corrugated Fill'!$C$12))+0.62198*(0.61094*EXP(17.625*(((C383+0.9*'Cooling Tower &amp; Corrugated Fill'!$C$12))-32)/1.8/((((C383+0.9*'Cooling Tower &amp; Corrugated Fill'!$C$12))-32)/1.8+243.04)))/('Cooling Tower &amp; Corrugated Fill'!$C$14-(0.61094*EXP(17.625*(((C383+0.9*'Cooling Tower &amp; Corrugated Fill'!$C$12))-32)/1.8/((((C383+0.9*'Cooling Tower &amp; Corrugated Fill'!$C$12))-32)/1.8+243.04))))*(1061+0.444*((C383+0.9*'Cooling Tower &amp; Corrugated Fill'!$C$12))))-('Merkel Solver'!$C$4+'Cooling Tower &amp; Corrugated Fill'!$C$13*0.9*'Cooling Tower &amp; Corrugated Fill'!$C$12)</f>
        <v/>
      </c>
      <c r="H383" s="22">
        <f>IF(MIN(D383:G383)&lt;=0,99999,'Cooling Tower &amp; Corrugated Fill'!$C$12/4*(1/D383+1/E383+1/F383+1/G383))</f>
        <v/>
      </c>
    </row>
    <row r="384">
      <c r="B384" s="30" t="n">
        <v>37.8</v>
      </c>
      <c r="C384" s="12">
        <f>'Dashboard'!$C$9+B384</f>
        <v/>
      </c>
      <c r="D384" s="14">
        <f>(0.24*((C384+0.1*'Cooling Tower &amp; Corrugated Fill'!$C$12))+0.62198*(0.61094*EXP(17.625*(((C384+0.1*'Cooling Tower &amp; Corrugated Fill'!$C$12))-32)/1.8/((((C384+0.1*'Cooling Tower &amp; Corrugated Fill'!$C$12))-32)/1.8+243.04)))/('Cooling Tower &amp; Corrugated Fill'!$C$14-(0.61094*EXP(17.625*(((C384+0.1*'Cooling Tower &amp; Corrugated Fill'!$C$12))-32)/1.8/((((C384+0.1*'Cooling Tower &amp; Corrugated Fill'!$C$12))-32)/1.8+243.04))))*(1061+0.444*((C384+0.1*'Cooling Tower &amp; Corrugated Fill'!$C$12))))-('Merkel Solver'!$C$4+'Cooling Tower &amp; Corrugated Fill'!$C$13*0.1*'Cooling Tower &amp; Corrugated Fill'!$C$12)</f>
        <v/>
      </c>
      <c r="E384" s="14">
        <f>(0.24*((C384+0.4*'Cooling Tower &amp; Corrugated Fill'!$C$12))+0.62198*(0.61094*EXP(17.625*(((C384+0.4*'Cooling Tower &amp; Corrugated Fill'!$C$12))-32)/1.8/((((C384+0.4*'Cooling Tower &amp; Corrugated Fill'!$C$12))-32)/1.8+243.04)))/('Cooling Tower &amp; Corrugated Fill'!$C$14-(0.61094*EXP(17.625*(((C384+0.4*'Cooling Tower &amp; Corrugated Fill'!$C$12))-32)/1.8/((((C384+0.4*'Cooling Tower &amp; Corrugated Fill'!$C$12))-32)/1.8+243.04))))*(1061+0.444*((C384+0.4*'Cooling Tower &amp; Corrugated Fill'!$C$12))))-('Merkel Solver'!$C$4+'Cooling Tower &amp; Corrugated Fill'!$C$13*0.4*'Cooling Tower &amp; Corrugated Fill'!$C$12)</f>
        <v/>
      </c>
      <c r="F384" s="14">
        <f>(0.24*((C384+0.6*'Cooling Tower &amp; Corrugated Fill'!$C$12))+0.62198*(0.61094*EXP(17.625*(((C384+0.6*'Cooling Tower &amp; Corrugated Fill'!$C$12))-32)/1.8/((((C384+0.6*'Cooling Tower &amp; Corrugated Fill'!$C$12))-32)/1.8+243.04)))/('Cooling Tower &amp; Corrugated Fill'!$C$14-(0.61094*EXP(17.625*(((C384+0.6*'Cooling Tower &amp; Corrugated Fill'!$C$12))-32)/1.8/((((C384+0.6*'Cooling Tower &amp; Corrugated Fill'!$C$12))-32)/1.8+243.04))))*(1061+0.444*((C384+0.6*'Cooling Tower &amp; Corrugated Fill'!$C$12))))-('Merkel Solver'!$C$4+'Cooling Tower &amp; Corrugated Fill'!$C$13*0.6*'Cooling Tower &amp; Corrugated Fill'!$C$12)</f>
        <v/>
      </c>
      <c r="G384" s="14">
        <f>(0.24*((C384+0.9*'Cooling Tower &amp; Corrugated Fill'!$C$12))+0.62198*(0.61094*EXP(17.625*(((C384+0.9*'Cooling Tower &amp; Corrugated Fill'!$C$12))-32)/1.8/((((C384+0.9*'Cooling Tower &amp; Corrugated Fill'!$C$12))-32)/1.8+243.04)))/('Cooling Tower &amp; Corrugated Fill'!$C$14-(0.61094*EXP(17.625*(((C384+0.9*'Cooling Tower &amp; Corrugated Fill'!$C$12))-32)/1.8/((((C384+0.9*'Cooling Tower &amp; Corrugated Fill'!$C$12))-32)/1.8+243.04))))*(1061+0.444*((C384+0.9*'Cooling Tower &amp; Corrugated Fill'!$C$12))))-('Merkel Solver'!$C$4+'Cooling Tower &amp; Corrugated Fill'!$C$13*0.9*'Cooling Tower &amp; Corrugated Fill'!$C$12)</f>
        <v/>
      </c>
      <c r="H384" s="22">
        <f>IF(MIN(D384:G384)&lt;=0,99999,'Cooling Tower &amp; Corrugated Fill'!$C$12/4*(1/D384+1/E384+1/F384+1/G384))</f>
        <v/>
      </c>
    </row>
    <row r="385">
      <c r="B385" s="30" t="n">
        <v>37.9</v>
      </c>
      <c r="C385" s="12">
        <f>'Dashboard'!$C$9+B385</f>
        <v/>
      </c>
      <c r="D385" s="14">
        <f>(0.24*((C385+0.1*'Cooling Tower &amp; Corrugated Fill'!$C$12))+0.62198*(0.61094*EXP(17.625*(((C385+0.1*'Cooling Tower &amp; Corrugated Fill'!$C$12))-32)/1.8/((((C385+0.1*'Cooling Tower &amp; Corrugated Fill'!$C$12))-32)/1.8+243.04)))/('Cooling Tower &amp; Corrugated Fill'!$C$14-(0.61094*EXP(17.625*(((C385+0.1*'Cooling Tower &amp; Corrugated Fill'!$C$12))-32)/1.8/((((C385+0.1*'Cooling Tower &amp; Corrugated Fill'!$C$12))-32)/1.8+243.04))))*(1061+0.444*((C385+0.1*'Cooling Tower &amp; Corrugated Fill'!$C$12))))-('Merkel Solver'!$C$4+'Cooling Tower &amp; Corrugated Fill'!$C$13*0.1*'Cooling Tower &amp; Corrugated Fill'!$C$12)</f>
        <v/>
      </c>
      <c r="E385" s="14">
        <f>(0.24*((C385+0.4*'Cooling Tower &amp; Corrugated Fill'!$C$12))+0.62198*(0.61094*EXP(17.625*(((C385+0.4*'Cooling Tower &amp; Corrugated Fill'!$C$12))-32)/1.8/((((C385+0.4*'Cooling Tower &amp; Corrugated Fill'!$C$12))-32)/1.8+243.04)))/('Cooling Tower &amp; Corrugated Fill'!$C$14-(0.61094*EXP(17.625*(((C385+0.4*'Cooling Tower &amp; Corrugated Fill'!$C$12))-32)/1.8/((((C385+0.4*'Cooling Tower &amp; Corrugated Fill'!$C$12))-32)/1.8+243.04))))*(1061+0.444*((C385+0.4*'Cooling Tower &amp; Corrugated Fill'!$C$12))))-('Merkel Solver'!$C$4+'Cooling Tower &amp; Corrugated Fill'!$C$13*0.4*'Cooling Tower &amp; Corrugated Fill'!$C$12)</f>
        <v/>
      </c>
      <c r="F385" s="14">
        <f>(0.24*((C385+0.6*'Cooling Tower &amp; Corrugated Fill'!$C$12))+0.62198*(0.61094*EXP(17.625*(((C385+0.6*'Cooling Tower &amp; Corrugated Fill'!$C$12))-32)/1.8/((((C385+0.6*'Cooling Tower &amp; Corrugated Fill'!$C$12))-32)/1.8+243.04)))/('Cooling Tower &amp; Corrugated Fill'!$C$14-(0.61094*EXP(17.625*(((C385+0.6*'Cooling Tower &amp; Corrugated Fill'!$C$12))-32)/1.8/((((C385+0.6*'Cooling Tower &amp; Corrugated Fill'!$C$12))-32)/1.8+243.04))))*(1061+0.444*((C385+0.6*'Cooling Tower &amp; Corrugated Fill'!$C$12))))-('Merkel Solver'!$C$4+'Cooling Tower &amp; Corrugated Fill'!$C$13*0.6*'Cooling Tower &amp; Corrugated Fill'!$C$12)</f>
        <v/>
      </c>
      <c r="G385" s="14">
        <f>(0.24*((C385+0.9*'Cooling Tower &amp; Corrugated Fill'!$C$12))+0.62198*(0.61094*EXP(17.625*(((C385+0.9*'Cooling Tower &amp; Corrugated Fill'!$C$12))-32)/1.8/((((C385+0.9*'Cooling Tower &amp; Corrugated Fill'!$C$12))-32)/1.8+243.04)))/('Cooling Tower &amp; Corrugated Fill'!$C$14-(0.61094*EXP(17.625*(((C385+0.9*'Cooling Tower &amp; Corrugated Fill'!$C$12))-32)/1.8/((((C385+0.9*'Cooling Tower &amp; Corrugated Fill'!$C$12))-32)/1.8+243.04))))*(1061+0.444*((C385+0.9*'Cooling Tower &amp; Corrugated Fill'!$C$12))))-('Merkel Solver'!$C$4+'Cooling Tower &amp; Corrugated Fill'!$C$13*0.9*'Cooling Tower &amp; Corrugated Fill'!$C$12)</f>
        <v/>
      </c>
      <c r="H385" s="22">
        <f>IF(MIN(D385:G385)&lt;=0,99999,'Cooling Tower &amp; Corrugated Fill'!$C$12/4*(1/D385+1/E385+1/F385+1/G385))</f>
        <v/>
      </c>
    </row>
    <row r="386">
      <c r="B386" s="30" t="n">
        <v>38</v>
      </c>
      <c r="C386" s="12">
        <f>'Dashboard'!$C$9+B386</f>
        <v/>
      </c>
      <c r="D386" s="14">
        <f>(0.24*((C386+0.1*'Cooling Tower &amp; Corrugated Fill'!$C$12))+0.62198*(0.61094*EXP(17.625*(((C386+0.1*'Cooling Tower &amp; Corrugated Fill'!$C$12))-32)/1.8/((((C386+0.1*'Cooling Tower &amp; Corrugated Fill'!$C$12))-32)/1.8+243.04)))/('Cooling Tower &amp; Corrugated Fill'!$C$14-(0.61094*EXP(17.625*(((C386+0.1*'Cooling Tower &amp; Corrugated Fill'!$C$12))-32)/1.8/((((C386+0.1*'Cooling Tower &amp; Corrugated Fill'!$C$12))-32)/1.8+243.04))))*(1061+0.444*((C386+0.1*'Cooling Tower &amp; Corrugated Fill'!$C$12))))-('Merkel Solver'!$C$4+'Cooling Tower &amp; Corrugated Fill'!$C$13*0.1*'Cooling Tower &amp; Corrugated Fill'!$C$12)</f>
        <v/>
      </c>
      <c r="E386" s="14">
        <f>(0.24*((C386+0.4*'Cooling Tower &amp; Corrugated Fill'!$C$12))+0.62198*(0.61094*EXP(17.625*(((C386+0.4*'Cooling Tower &amp; Corrugated Fill'!$C$12))-32)/1.8/((((C386+0.4*'Cooling Tower &amp; Corrugated Fill'!$C$12))-32)/1.8+243.04)))/('Cooling Tower &amp; Corrugated Fill'!$C$14-(0.61094*EXP(17.625*(((C386+0.4*'Cooling Tower &amp; Corrugated Fill'!$C$12))-32)/1.8/((((C386+0.4*'Cooling Tower &amp; Corrugated Fill'!$C$12))-32)/1.8+243.04))))*(1061+0.444*((C386+0.4*'Cooling Tower &amp; Corrugated Fill'!$C$12))))-('Merkel Solver'!$C$4+'Cooling Tower &amp; Corrugated Fill'!$C$13*0.4*'Cooling Tower &amp; Corrugated Fill'!$C$12)</f>
        <v/>
      </c>
      <c r="F386" s="14">
        <f>(0.24*((C386+0.6*'Cooling Tower &amp; Corrugated Fill'!$C$12))+0.62198*(0.61094*EXP(17.625*(((C386+0.6*'Cooling Tower &amp; Corrugated Fill'!$C$12))-32)/1.8/((((C386+0.6*'Cooling Tower &amp; Corrugated Fill'!$C$12))-32)/1.8+243.04)))/('Cooling Tower &amp; Corrugated Fill'!$C$14-(0.61094*EXP(17.625*(((C386+0.6*'Cooling Tower &amp; Corrugated Fill'!$C$12))-32)/1.8/((((C386+0.6*'Cooling Tower &amp; Corrugated Fill'!$C$12))-32)/1.8+243.04))))*(1061+0.444*((C386+0.6*'Cooling Tower &amp; Corrugated Fill'!$C$12))))-('Merkel Solver'!$C$4+'Cooling Tower &amp; Corrugated Fill'!$C$13*0.6*'Cooling Tower &amp; Corrugated Fill'!$C$12)</f>
        <v/>
      </c>
      <c r="G386" s="14">
        <f>(0.24*((C386+0.9*'Cooling Tower &amp; Corrugated Fill'!$C$12))+0.62198*(0.61094*EXP(17.625*(((C386+0.9*'Cooling Tower &amp; Corrugated Fill'!$C$12))-32)/1.8/((((C386+0.9*'Cooling Tower &amp; Corrugated Fill'!$C$12))-32)/1.8+243.04)))/('Cooling Tower &amp; Corrugated Fill'!$C$14-(0.61094*EXP(17.625*(((C386+0.9*'Cooling Tower &amp; Corrugated Fill'!$C$12))-32)/1.8/((((C386+0.9*'Cooling Tower &amp; Corrugated Fill'!$C$12))-32)/1.8+243.04))))*(1061+0.444*((C386+0.9*'Cooling Tower &amp; Corrugated Fill'!$C$12))))-('Merkel Solver'!$C$4+'Cooling Tower &amp; Corrugated Fill'!$C$13*0.9*'Cooling Tower &amp; Corrugated Fill'!$C$12)</f>
        <v/>
      </c>
      <c r="H386" s="22">
        <f>IF(MIN(D386:G386)&lt;=0,99999,'Cooling Tower &amp; Corrugated Fill'!$C$12/4*(1/D386+1/E386+1/F386+1/G386))</f>
        <v/>
      </c>
    </row>
    <row r="387">
      <c r="B387" s="30" t="n">
        <v>38.1</v>
      </c>
      <c r="C387" s="12">
        <f>'Dashboard'!$C$9+B387</f>
        <v/>
      </c>
      <c r="D387" s="14">
        <f>(0.24*((C387+0.1*'Cooling Tower &amp; Corrugated Fill'!$C$12))+0.62198*(0.61094*EXP(17.625*(((C387+0.1*'Cooling Tower &amp; Corrugated Fill'!$C$12))-32)/1.8/((((C387+0.1*'Cooling Tower &amp; Corrugated Fill'!$C$12))-32)/1.8+243.04)))/('Cooling Tower &amp; Corrugated Fill'!$C$14-(0.61094*EXP(17.625*(((C387+0.1*'Cooling Tower &amp; Corrugated Fill'!$C$12))-32)/1.8/((((C387+0.1*'Cooling Tower &amp; Corrugated Fill'!$C$12))-32)/1.8+243.04))))*(1061+0.444*((C387+0.1*'Cooling Tower &amp; Corrugated Fill'!$C$12))))-('Merkel Solver'!$C$4+'Cooling Tower &amp; Corrugated Fill'!$C$13*0.1*'Cooling Tower &amp; Corrugated Fill'!$C$12)</f>
        <v/>
      </c>
      <c r="E387" s="14">
        <f>(0.24*((C387+0.4*'Cooling Tower &amp; Corrugated Fill'!$C$12))+0.62198*(0.61094*EXP(17.625*(((C387+0.4*'Cooling Tower &amp; Corrugated Fill'!$C$12))-32)/1.8/((((C387+0.4*'Cooling Tower &amp; Corrugated Fill'!$C$12))-32)/1.8+243.04)))/('Cooling Tower &amp; Corrugated Fill'!$C$14-(0.61094*EXP(17.625*(((C387+0.4*'Cooling Tower &amp; Corrugated Fill'!$C$12))-32)/1.8/((((C387+0.4*'Cooling Tower &amp; Corrugated Fill'!$C$12))-32)/1.8+243.04))))*(1061+0.444*((C387+0.4*'Cooling Tower &amp; Corrugated Fill'!$C$12))))-('Merkel Solver'!$C$4+'Cooling Tower &amp; Corrugated Fill'!$C$13*0.4*'Cooling Tower &amp; Corrugated Fill'!$C$12)</f>
        <v/>
      </c>
      <c r="F387" s="14">
        <f>(0.24*((C387+0.6*'Cooling Tower &amp; Corrugated Fill'!$C$12))+0.62198*(0.61094*EXP(17.625*(((C387+0.6*'Cooling Tower &amp; Corrugated Fill'!$C$12))-32)/1.8/((((C387+0.6*'Cooling Tower &amp; Corrugated Fill'!$C$12))-32)/1.8+243.04)))/('Cooling Tower &amp; Corrugated Fill'!$C$14-(0.61094*EXP(17.625*(((C387+0.6*'Cooling Tower &amp; Corrugated Fill'!$C$12))-32)/1.8/((((C387+0.6*'Cooling Tower &amp; Corrugated Fill'!$C$12))-32)/1.8+243.04))))*(1061+0.444*((C387+0.6*'Cooling Tower &amp; Corrugated Fill'!$C$12))))-('Merkel Solver'!$C$4+'Cooling Tower &amp; Corrugated Fill'!$C$13*0.6*'Cooling Tower &amp; Corrugated Fill'!$C$12)</f>
        <v/>
      </c>
      <c r="G387" s="14">
        <f>(0.24*((C387+0.9*'Cooling Tower &amp; Corrugated Fill'!$C$12))+0.62198*(0.61094*EXP(17.625*(((C387+0.9*'Cooling Tower &amp; Corrugated Fill'!$C$12))-32)/1.8/((((C387+0.9*'Cooling Tower &amp; Corrugated Fill'!$C$12))-32)/1.8+243.04)))/('Cooling Tower &amp; Corrugated Fill'!$C$14-(0.61094*EXP(17.625*(((C387+0.9*'Cooling Tower &amp; Corrugated Fill'!$C$12))-32)/1.8/((((C387+0.9*'Cooling Tower &amp; Corrugated Fill'!$C$12))-32)/1.8+243.04))))*(1061+0.444*((C387+0.9*'Cooling Tower &amp; Corrugated Fill'!$C$12))))-('Merkel Solver'!$C$4+'Cooling Tower &amp; Corrugated Fill'!$C$13*0.9*'Cooling Tower &amp; Corrugated Fill'!$C$12)</f>
        <v/>
      </c>
      <c r="H387" s="22">
        <f>IF(MIN(D387:G387)&lt;=0,99999,'Cooling Tower &amp; Corrugated Fill'!$C$12/4*(1/D387+1/E387+1/F387+1/G387))</f>
        <v/>
      </c>
    </row>
    <row r="388">
      <c r="B388" s="30" t="n">
        <v>38.2</v>
      </c>
      <c r="C388" s="12">
        <f>'Dashboard'!$C$9+B388</f>
        <v/>
      </c>
      <c r="D388" s="14">
        <f>(0.24*((C388+0.1*'Cooling Tower &amp; Corrugated Fill'!$C$12))+0.62198*(0.61094*EXP(17.625*(((C388+0.1*'Cooling Tower &amp; Corrugated Fill'!$C$12))-32)/1.8/((((C388+0.1*'Cooling Tower &amp; Corrugated Fill'!$C$12))-32)/1.8+243.04)))/('Cooling Tower &amp; Corrugated Fill'!$C$14-(0.61094*EXP(17.625*(((C388+0.1*'Cooling Tower &amp; Corrugated Fill'!$C$12))-32)/1.8/((((C388+0.1*'Cooling Tower &amp; Corrugated Fill'!$C$12))-32)/1.8+243.04))))*(1061+0.444*((C388+0.1*'Cooling Tower &amp; Corrugated Fill'!$C$12))))-('Merkel Solver'!$C$4+'Cooling Tower &amp; Corrugated Fill'!$C$13*0.1*'Cooling Tower &amp; Corrugated Fill'!$C$12)</f>
        <v/>
      </c>
      <c r="E388" s="14">
        <f>(0.24*((C388+0.4*'Cooling Tower &amp; Corrugated Fill'!$C$12))+0.62198*(0.61094*EXP(17.625*(((C388+0.4*'Cooling Tower &amp; Corrugated Fill'!$C$12))-32)/1.8/((((C388+0.4*'Cooling Tower &amp; Corrugated Fill'!$C$12))-32)/1.8+243.04)))/('Cooling Tower &amp; Corrugated Fill'!$C$14-(0.61094*EXP(17.625*(((C388+0.4*'Cooling Tower &amp; Corrugated Fill'!$C$12))-32)/1.8/((((C388+0.4*'Cooling Tower &amp; Corrugated Fill'!$C$12))-32)/1.8+243.04))))*(1061+0.444*((C388+0.4*'Cooling Tower &amp; Corrugated Fill'!$C$12))))-('Merkel Solver'!$C$4+'Cooling Tower &amp; Corrugated Fill'!$C$13*0.4*'Cooling Tower &amp; Corrugated Fill'!$C$12)</f>
        <v/>
      </c>
      <c r="F388" s="14">
        <f>(0.24*((C388+0.6*'Cooling Tower &amp; Corrugated Fill'!$C$12))+0.62198*(0.61094*EXP(17.625*(((C388+0.6*'Cooling Tower &amp; Corrugated Fill'!$C$12))-32)/1.8/((((C388+0.6*'Cooling Tower &amp; Corrugated Fill'!$C$12))-32)/1.8+243.04)))/('Cooling Tower &amp; Corrugated Fill'!$C$14-(0.61094*EXP(17.625*(((C388+0.6*'Cooling Tower &amp; Corrugated Fill'!$C$12))-32)/1.8/((((C388+0.6*'Cooling Tower &amp; Corrugated Fill'!$C$12))-32)/1.8+243.04))))*(1061+0.444*((C388+0.6*'Cooling Tower &amp; Corrugated Fill'!$C$12))))-('Merkel Solver'!$C$4+'Cooling Tower &amp; Corrugated Fill'!$C$13*0.6*'Cooling Tower &amp; Corrugated Fill'!$C$12)</f>
        <v/>
      </c>
      <c r="G388" s="14">
        <f>(0.24*((C388+0.9*'Cooling Tower &amp; Corrugated Fill'!$C$12))+0.62198*(0.61094*EXP(17.625*(((C388+0.9*'Cooling Tower &amp; Corrugated Fill'!$C$12))-32)/1.8/((((C388+0.9*'Cooling Tower &amp; Corrugated Fill'!$C$12))-32)/1.8+243.04)))/('Cooling Tower &amp; Corrugated Fill'!$C$14-(0.61094*EXP(17.625*(((C388+0.9*'Cooling Tower &amp; Corrugated Fill'!$C$12))-32)/1.8/((((C388+0.9*'Cooling Tower &amp; Corrugated Fill'!$C$12))-32)/1.8+243.04))))*(1061+0.444*((C388+0.9*'Cooling Tower &amp; Corrugated Fill'!$C$12))))-('Merkel Solver'!$C$4+'Cooling Tower &amp; Corrugated Fill'!$C$13*0.9*'Cooling Tower &amp; Corrugated Fill'!$C$12)</f>
        <v/>
      </c>
      <c r="H388" s="22">
        <f>IF(MIN(D388:G388)&lt;=0,99999,'Cooling Tower &amp; Corrugated Fill'!$C$12/4*(1/D388+1/E388+1/F388+1/G388))</f>
        <v/>
      </c>
    </row>
    <row r="389">
      <c r="B389" s="30" t="n">
        <v>38.3</v>
      </c>
      <c r="C389" s="12">
        <f>'Dashboard'!$C$9+B389</f>
        <v/>
      </c>
      <c r="D389" s="14">
        <f>(0.24*((C389+0.1*'Cooling Tower &amp; Corrugated Fill'!$C$12))+0.62198*(0.61094*EXP(17.625*(((C389+0.1*'Cooling Tower &amp; Corrugated Fill'!$C$12))-32)/1.8/((((C389+0.1*'Cooling Tower &amp; Corrugated Fill'!$C$12))-32)/1.8+243.04)))/('Cooling Tower &amp; Corrugated Fill'!$C$14-(0.61094*EXP(17.625*(((C389+0.1*'Cooling Tower &amp; Corrugated Fill'!$C$12))-32)/1.8/((((C389+0.1*'Cooling Tower &amp; Corrugated Fill'!$C$12))-32)/1.8+243.04))))*(1061+0.444*((C389+0.1*'Cooling Tower &amp; Corrugated Fill'!$C$12))))-('Merkel Solver'!$C$4+'Cooling Tower &amp; Corrugated Fill'!$C$13*0.1*'Cooling Tower &amp; Corrugated Fill'!$C$12)</f>
        <v/>
      </c>
      <c r="E389" s="14">
        <f>(0.24*((C389+0.4*'Cooling Tower &amp; Corrugated Fill'!$C$12))+0.62198*(0.61094*EXP(17.625*(((C389+0.4*'Cooling Tower &amp; Corrugated Fill'!$C$12))-32)/1.8/((((C389+0.4*'Cooling Tower &amp; Corrugated Fill'!$C$12))-32)/1.8+243.04)))/('Cooling Tower &amp; Corrugated Fill'!$C$14-(0.61094*EXP(17.625*(((C389+0.4*'Cooling Tower &amp; Corrugated Fill'!$C$12))-32)/1.8/((((C389+0.4*'Cooling Tower &amp; Corrugated Fill'!$C$12))-32)/1.8+243.04))))*(1061+0.444*((C389+0.4*'Cooling Tower &amp; Corrugated Fill'!$C$12))))-('Merkel Solver'!$C$4+'Cooling Tower &amp; Corrugated Fill'!$C$13*0.4*'Cooling Tower &amp; Corrugated Fill'!$C$12)</f>
        <v/>
      </c>
      <c r="F389" s="14">
        <f>(0.24*((C389+0.6*'Cooling Tower &amp; Corrugated Fill'!$C$12))+0.62198*(0.61094*EXP(17.625*(((C389+0.6*'Cooling Tower &amp; Corrugated Fill'!$C$12))-32)/1.8/((((C389+0.6*'Cooling Tower &amp; Corrugated Fill'!$C$12))-32)/1.8+243.04)))/('Cooling Tower &amp; Corrugated Fill'!$C$14-(0.61094*EXP(17.625*(((C389+0.6*'Cooling Tower &amp; Corrugated Fill'!$C$12))-32)/1.8/((((C389+0.6*'Cooling Tower &amp; Corrugated Fill'!$C$12))-32)/1.8+243.04))))*(1061+0.444*((C389+0.6*'Cooling Tower &amp; Corrugated Fill'!$C$12))))-('Merkel Solver'!$C$4+'Cooling Tower &amp; Corrugated Fill'!$C$13*0.6*'Cooling Tower &amp; Corrugated Fill'!$C$12)</f>
        <v/>
      </c>
      <c r="G389" s="14">
        <f>(0.24*((C389+0.9*'Cooling Tower &amp; Corrugated Fill'!$C$12))+0.62198*(0.61094*EXP(17.625*(((C389+0.9*'Cooling Tower &amp; Corrugated Fill'!$C$12))-32)/1.8/((((C389+0.9*'Cooling Tower &amp; Corrugated Fill'!$C$12))-32)/1.8+243.04)))/('Cooling Tower &amp; Corrugated Fill'!$C$14-(0.61094*EXP(17.625*(((C389+0.9*'Cooling Tower &amp; Corrugated Fill'!$C$12))-32)/1.8/((((C389+0.9*'Cooling Tower &amp; Corrugated Fill'!$C$12))-32)/1.8+243.04))))*(1061+0.444*((C389+0.9*'Cooling Tower &amp; Corrugated Fill'!$C$12))))-('Merkel Solver'!$C$4+'Cooling Tower &amp; Corrugated Fill'!$C$13*0.9*'Cooling Tower &amp; Corrugated Fill'!$C$12)</f>
        <v/>
      </c>
      <c r="H389" s="22">
        <f>IF(MIN(D389:G389)&lt;=0,99999,'Cooling Tower &amp; Corrugated Fill'!$C$12/4*(1/D389+1/E389+1/F389+1/G389))</f>
        <v/>
      </c>
    </row>
    <row r="390">
      <c r="B390" s="30" t="n">
        <v>38.4</v>
      </c>
      <c r="C390" s="12">
        <f>'Dashboard'!$C$9+B390</f>
        <v/>
      </c>
      <c r="D390" s="14">
        <f>(0.24*((C390+0.1*'Cooling Tower &amp; Corrugated Fill'!$C$12))+0.62198*(0.61094*EXP(17.625*(((C390+0.1*'Cooling Tower &amp; Corrugated Fill'!$C$12))-32)/1.8/((((C390+0.1*'Cooling Tower &amp; Corrugated Fill'!$C$12))-32)/1.8+243.04)))/('Cooling Tower &amp; Corrugated Fill'!$C$14-(0.61094*EXP(17.625*(((C390+0.1*'Cooling Tower &amp; Corrugated Fill'!$C$12))-32)/1.8/((((C390+0.1*'Cooling Tower &amp; Corrugated Fill'!$C$12))-32)/1.8+243.04))))*(1061+0.444*((C390+0.1*'Cooling Tower &amp; Corrugated Fill'!$C$12))))-('Merkel Solver'!$C$4+'Cooling Tower &amp; Corrugated Fill'!$C$13*0.1*'Cooling Tower &amp; Corrugated Fill'!$C$12)</f>
        <v/>
      </c>
      <c r="E390" s="14">
        <f>(0.24*((C390+0.4*'Cooling Tower &amp; Corrugated Fill'!$C$12))+0.62198*(0.61094*EXP(17.625*(((C390+0.4*'Cooling Tower &amp; Corrugated Fill'!$C$12))-32)/1.8/((((C390+0.4*'Cooling Tower &amp; Corrugated Fill'!$C$12))-32)/1.8+243.04)))/('Cooling Tower &amp; Corrugated Fill'!$C$14-(0.61094*EXP(17.625*(((C390+0.4*'Cooling Tower &amp; Corrugated Fill'!$C$12))-32)/1.8/((((C390+0.4*'Cooling Tower &amp; Corrugated Fill'!$C$12))-32)/1.8+243.04))))*(1061+0.444*((C390+0.4*'Cooling Tower &amp; Corrugated Fill'!$C$12))))-('Merkel Solver'!$C$4+'Cooling Tower &amp; Corrugated Fill'!$C$13*0.4*'Cooling Tower &amp; Corrugated Fill'!$C$12)</f>
        <v/>
      </c>
      <c r="F390" s="14">
        <f>(0.24*((C390+0.6*'Cooling Tower &amp; Corrugated Fill'!$C$12))+0.62198*(0.61094*EXP(17.625*(((C390+0.6*'Cooling Tower &amp; Corrugated Fill'!$C$12))-32)/1.8/((((C390+0.6*'Cooling Tower &amp; Corrugated Fill'!$C$12))-32)/1.8+243.04)))/('Cooling Tower &amp; Corrugated Fill'!$C$14-(0.61094*EXP(17.625*(((C390+0.6*'Cooling Tower &amp; Corrugated Fill'!$C$12))-32)/1.8/((((C390+0.6*'Cooling Tower &amp; Corrugated Fill'!$C$12))-32)/1.8+243.04))))*(1061+0.444*((C390+0.6*'Cooling Tower &amp; Corrugated Fill'!$C$12))))-('Merkel Solver'!$C$4+'Cooling Tower &amp; Corrugated Fill'!$C$13*0.6*'Cooling Tower &amp; Corrugated Fill'!$C$12)</f>
        <v/>
      </c>
      <c r="G390" s="14">
        <f>(0.24*((C390+0.9*'Cooling Tower &amp; Corrugated Fill'!$C$12))+0.62198*(0.61094*EXP(17.625*(((C390+0.9*'Cooling Tower &amp; Corrugated Fill'!$C$12))-32)/1.8/((((C390+0.9*'Cooling Tower &amp; Corrugated Fill'!$C$12))-32)/1.8+243.04)))/('Cooling Tower &amp; Corrugated Fill'!$C$14-(0.61094*EXP(17.625*(((C390+0.9*'Cooling Tower &amp; Corrugated Fill'!$C$12))-32)/1.8/((((C390+0.9*'Cooling Tower &amp; Corrugated Fill'!$C$12))-32)/1.8+243.04))))*(1061+0.444*((C390+0.9*'Cooling Tower &amp; Corrugated Fill'!$C$12))))-('Merkel Solver'!$C$4+'Cooling Tower &amp; Corrugated Fill'!$C$13*0.9*'Cooling Tower &amp; Corrugated Fill'!$C$12)</f>
        <v/>
      </c>
      <c r="H390" s="22">
        <f>IF(MIN(D390:G390)&lt;=0,99999,'Cooling Tower &amp; Corrugated Fill'!$C$12/4*(1/D390+1/E390+1/F390+1/G390))</f>
        <v/>
      </c>
    </row>
    <row r="391">
      <c r="B391" s="30" t="n">
        <v>38.5</v>
      </c>
      <c r="C391" s="12">
        <f>'Dashboard'!$C$9+B391</f>
        <v/>
      </c>
      <c r="D391" s="14">
        <f>(0.24*((C391+0.1*'Cooling Tower &amp; Corrugated Fill'!$C$12))+0.62198*(0.61094*EXP(17.625*(((C391+0.1*'Cooling Tower &amp; Corrugated Fill'!$C$12))-32)/1.8/((((C391+0.1*'Cooling Tower &amp; Corrugated Fill'!$C$12))-32)/1.8+243.04)))/('Cooling Tower &amp; Corrugated Fill'!$C$14-(0.61094*EXP(17.625*(((C391+0.1*'Cooling Tower &amp; Corrugated Fill'!$C$12))-32)/1.8/((((C391+0.1*'Cooling Tower &amp; Corrugated Fill'!$C$12))-32)/1.8+243.04))))*(1061+0.444*((C391+0.1*'Cooling Tower &amp; Corrugated Fill'!$C$12))))-('Merkel Solver'!$C$4+'Cooling Tower &amp; Corrugated Fill'!$C$13*0.1*'Cooling Tower &amp; Corrugated Fill'!$C$12)</f>
        <v/>
      </c>
      <c r="E391" s="14">
        <f>(0.24*((C391+0.4*'Cooling Tower &amp; Corrugated Fill'!$C$12))+0.62198*(0.61094*EXP(17.625*(((C391+0.4*'Cooling Tower &amp; Corrugated Fill'!$C$12))-32)/1.8/((((C391+0.4*'Cooling Tower &amp; Corrugated Fill'!$C$12))-32)/1.8+243.04)))/('Cooling Tower &amp; Corrugated Fill'!$C$14-(0.61094*EXP(17.625*(((C391+0.4*'Cooling Tower &amp; Corrugated Fill'!$C$12))-32)/1.8/((((C391+0.4*'Cooling Tower &amp; Corrugated Fill'!$C$12))-32)/1.8+243.04))))*(1061+0.444*((C391+0.4*'Cooling Tower &amp; Corrugated Fill'!$C$12))))-('Merkel Solver'!$C$4+'Cooling Tower &amp; Corrugated Fill'!$C$13*0.4*'Cooling Tower &amp; Corrugated Fill'!$C$12)</f>
        <v/>
      </c>
      <c r="F391" s="14">
        <f>(0.24*((C391+0.6*'Cooling Tower &amp; Corrugated Fill'!$C$12))+0.62198*(0.61094*EXP(17.625*(((C391+0.6*'Cooling Tower &amp; Corrugated Fill'!$C$12))-32)/1.8/((((C391+0.6*'Cooling Tower &amp; Corrugated Fill'!$C$12))-32)/1.8+243.04)))/('Cooling Tower &amp; Corrugated Fill'!$C$14-(0.61094*EXP(17.625*(((C391+0.6*'Cooling Tower &amp; Corrugated Fill'!$C$12))-32)/1.8/((((C391+0.6*'Cooling Tower &amp; Corrugated Fill'!$C$12))-32)/1.8+243.04))))*(1061+0.444*((C391+0.6*'Cooling Tower &amp; Corrugated Fill'!$C$12))))-('Merkel Solver'!$C$4+'Cooling Tower &amp; Corrugated Fill'!$C$13*0.6*'Cooling Tower &amp; Corrugated Fill'!$C$12)</f>
        <v/>
      </c>
      <c r="G391" s="14">
        <f>(0.24*((C391+0.9*'Cooling Tower &amp; Corrugated Fill'!$C$12))+0.62198*(0.61094*EXP(17.625*(((C391+0.9*'Cooling Tower &amp; Corrugated Fill'!$C$12))-32)/1.8/((((C391+0.9*'Cooling Tower &amp; Corrugated Fill'!$C$12))-32)/1.8+243.04)))/('Cooling Tower &amp; Corrugated Fill'!$C$14-(0.61094*EXP(17.625*(((C391+0.9*'Cooling Tower &amp; Corrugated Fill'!$C$12))-32)/1.8/((((C391+0.9*'Cooling Tower &amp; Corrugated Fill'!$C$12))-32)/1.8+243.04))))*(1061+0.444*((C391+0.9*'Cooling Tower &amp; Corrugated Fill'!$C$12))))-('Merkel Solver'!$C$4+'Cooling Tower &amp; Corrugated Fill'!$C$13*0.9*'Cooling Tower &amp; Corrugated Fill'!$C$12)</f>
        <v/>
      </c>
      <c r="H391" s="22">
        <f>IF(MIN(D391:G391)&lt;=0,99999,'Cooling Tower &amp; Corrugated Fill'!$C$12/4*(1/D391+1/E391+1/F391+1/G391))</f>
        <v/>
      </c>
    </row>
    <row r="392">
      <c r="B392" s="30" t="n">
        <v>38.6</v>
      </c>
      <c r="C392" s="12">
        <f>'Dashboard'!$C$9+B392</f>
        <v/>
      </c>
      <c r="D392" s="14">
        <f>(0.24*((C392+0.1*'Cooling Tower &amp; Corrugated Fill'!$C$12))+0.62198*(0.61094*EXP(17.625*(((C392+0.1*'Cooling Tower &amp; Corrugated Fill'!$C$12))-32)/1.8/((((C392+0.1*'Cooling Tower &amp; Corrugated Fill'!$C$12))-32)/1.8+243.04)))/('Cooling Tower &amp; Corrugated Fill'!$C$14-(0.61094*EXP(17.625*(((C392+0.1*'Cooling Tower &amp; Corrugated Fill'!$C$12))-32)/1.8/((((C392+0.1*'Cooling Tower &amp; Corrugated Fill'!$C$12))-32)/1.8+243.04))))*(1061+0.444*((C392+0.1*'Cooling Tower &amp; Corrugated Fill'!$C$12))))-('Merkel Solver'!$C$4+'Cooling Tower &amp; Corrugated Fill'!$C$13*0.1*'Cooling Tower &amp; Corrugated Fill'!$C$12)</f>
        <v/>
      </c>
      <c r="E392" s="14">
        <f>(0.24*((C392+0.4*'Cooling Tower &amp; Corrugated Fill'!$C$12))+0.62198*(0.61094*EXP(17.625*(((C392+0.4*'Cooling Tower &amp; Corrugated Fill'!$C$12))-32)/1.8/((((C392+0.4*'Cooling Tower &amp; Corrugated Fill'!$C$12))-32)/1.8+243.04)))/('Cooling Tower &amp; Corrugated Fill'!$C$14-(0.61094*EXP(17.625*(((C392+0.4*'Cooling Tower &amp; Corrugated Fill'!$C$12))-32)/1.8/((((C392+0.4*'Cooling Tower &amp; Corrugated Fill'!$C$12))-32)/1.8+243.04))))*(1061+0.444*((C392+0.4*'Cooling Tower &amp; Corrugated Fill'!$C$12))))-('Merkel Solver'!$C$4+'Cooling Tower &amp; Corrugated Fill'!$C$13*0.4*'Cooling Tower &amp; Corrugated Fill'!$C$12)</f>
        <v/>
      </c>
      <c r="F392" s="14">
        <f>(0.24*((C392+0.6*'Cooling Tower &amp; Corrugated Fill'!$C$12))+0.62198*(0.61094*EXP(17.625*(((C392+0.6*'Cooling Tower &amp; Corrugated Fill'!$C$12))-32)/1.8/((((C392+0.6*'Cooling Tower &amp; Corrugated Fill'!$C$12))-32)/1.8+243.04)))/('Cooling Tower &amp; Corrugated Fill'!$C$14-(0.61094*EXP(17.625*(((C392+0.6*'Cooling Tower &amp; Corrugated Fill'!$C$12))-32)/1.8/((((C392+0.6*'Cooling Tower &amp; Corrugated Fill'!$C$12))-32)/1.8+243.04))))*(1061+0.444*((C392+0.6*'Cooling Tower &amp; Corrugated Fill'!$C$12))))-('Merkel Solver'!$C$4+'Cooling Tower &amp; Corrugated Fill'!$C$13*0.6*'Cooling Tower &amp; Corrugated Fill'!$C$12)</f>
        <v/>
      </c>
      <c r="G392" s="14">
        <f>(0.24*((C392+0.9*'Cooling Tower &amp; Corrugated Fill'!$C$12))+0.62198*(0.61094*EXP(17.625*(((C392+0.9*'Cooling Tower &amp; Corrugated Fill'!$C$12))-32)/1.8/((((C392+0.9*'Cooling Tower &amp; Corrugated Fill'!$C$12))-32)/1.8+243.04)))/('Cooling Tower &amp; Corrugated Fill'!$C$14-(0.61094*EXP(17.625*(((C392+0.9*'Cooling Tower &amp; Corrugated Fill'!$C$12))-32)/1.8/((((C392+0.9*'Cooling Tower &amp; Corrugated Fill'!$C$12))-32)/1.8+243.04))))*(1061+0.444*((C392+0.9*'Cooling Tower &amp; Corrugated Fill'!$C$12))))-('Merkel Solver'!$C$4+'Cooling Tower &amp; Corrugated Fill'!$C$13*0.9*'Cooling Tower &amp; Corrugated Fill'!$C$12)</f>
        <v/>
      </c>
      <c r="H392" s="22">
        <f>IF(MIN(D392:G392)&lt;=0,99999,'Cooling Tower &amp; Corrugated Fill'!$C$12/4*(1/D392+1/E392+1/F392+1/G392))</f>
        <v/>
      </c>
    </row>
    <row r="393">
      <c r="B393" s="30" t="n">
        <v>38.7</v>
      </c>
      <c r="C393" s="12">
        <f>'Dashboard'!$C$9+B393</f>
        <v/>
      </c>
      <c r="D393" s="14">
        <f>(0.24*((C393+0.1*'Cooling Tower &amp; Corrugated Fill'!$C$12))+0.62198*(0.61094*EXP(17.625*(((C393+0.1*'Cooling Tower &amp; Corrugated Fill'!$C$12))-32)/1.8/((((C393+0.1*'Cooling Tower &amp; Corrugated Fill'!$C$12))-32)/1.8+243.04)))/('Cooling Tower &amp; Corrugated Fill'!$C$14-(0.61094*EXP(17.625*(((C393+0.1*'Cooling Tower &amp; Corrugated Fill'!$C$12))-32)/1.8/((((C393+0.1*'Cooling Tower &amp; Corrugated Fill'!$C$12))-32)/1.8+243.04))))*(1061+0.444*((C393+0.1*'Cooling Tower &amp; Corrugated Fill'!$C$12))))-('Merkel Solver'!$C$4+'Cooling Tower &amp; Corrugated Fill'!$C$13*0.1*'Cooling Tower &amp; Corrugated Fill'!$C$12)</f>
        <v/>
      </c>
      <c r="E393" s="14">
        <f>(0.24*((C393+0.4*'Cooling Tower &amp; Corrugated Fill'!$C$12))+0.62198*(0.61094*EXP(17.625*(((C393+0.4*'Cooling Tower &amp; Corrugated Fill'!$C$12))-32)/1.8/((((C393+0.4*'Cooling Tower &amp; Corrugated Fill'!$C$12))-32)/1.8+243.04)))/('Cooling Tower &amp; Corrugated Fill'!$C$14-(0.61094*EXP(17.625*(((C393+0.4*'Cooling Tower &amp; Corrugated Fill'!$C$12))-32)/1.8/((((C393+0.4*'Cooling Tower &amp; Corrugated Fill'!$C$12))-32)/1.8+243.04))))*(1061+0.444*((C393+0.4*'Cooling Tower &amp; Corrugated Fill'!$C$12))))-('Merkel Solver'!$C$4+'Cooling Tower &amp; Corrugated Fill'!$C$13*0.4*'Cooling Tower &amp; Corrugated Fill'!$C$12)</f>
        <v/>
      </c>
      <c r="F393" s="14">
        <f>(0.24*((C393+0.6*'Cooling Tower &amp; Corrugated Fill'!$C$12))+0.62198*(0.61094*EXP(17.625*(((C393+0.6*'Cooling Tower &amp; Corrugated Fill'!$C$12))-32)/1.8/((((C393+0.6*'Cooling Tower &amp; Corrugated Fill'!$C$12))-32)/1.8+243.04)))/('Cooling Tower &amp; Corrugated Fill'!$C$14-(0.61094*EXP(17.625*(((C393+0.6*'Cooling Tower &amp; Corrugated Fill'!$C$12))-32)/1.8/((((C393+0.6*'Cooling Tower &amp; Corrugated Fill'!$C$12))-32)/1.8+243.04))))*(1061+0.444*((C393+0.6*'Cooling Tower &amp; Corrugated Fill'!$C$12))))-('Merkel Solver'!$C$4+'Cooling Tower &amp; Corrugated Fill'!$C$13*0.6*'Cooling Tower &amp; Corrugated Fill'!$C$12)</f>
        <v/>
      </c>
      <c r="G393" s="14">
        <f>(0.24*((C393+0.9*'Cooling Tower &amp; Corrugated Fill'!$C$12))+0.62198*(0.61094*EXP(17.625*(((C393+0.9*'Cooling Tower &amp; Corrugated Fill'!$C$12))-32)/1.8/((((C393+0.9*'Cooling Tower &amp; Corrugated Fill'!$C$12))-32)/1.8+243.04)))/('Cooling Tower &amp; Corrugated Fill'!$C$14-(0.61094*EXP(17.625*(((C393+0.9*'Cooling Tower &amp; Corrugated Fill'!$C$12))-32)/1.8/((((C393+0.9*'Cooling Tower &amp; Corrugated Fill'!$C$12))-32)/1.8+243.04))))*(1061+0.444*((C393+0.9*'Cooling Tower &amp; Corrugated Fill'!$C$12))))-('Merkel Solver'!$C$4+'Cooling Tower &amp; Corrugated Fill'!$C$13*0.9*'Cooling Tower &amp; Corrugated Fill'!$C$12)</f>
        <v/>
      </c>
      <c r="H393" s="22">
        <f>IF(MIN(D393:G393)&lt;=0,99999,'Cooling Tower &amp; Corrugated Fill'!$C$12/4*(1/D393+1/E393+1/F393+1/G393))</f>
        <v/>
      </c>
    </row>
    <row r="394">
      <c r="B394" s="30" t="n">
        <v>38.8</v>
      </c>
      <c r="C394" s="12">
        <f>'Dashboard'!$C$9+B394</f>
        <v/>
      </c>
      <c r="D394" s="14">
        <f>(0.24*((C394+0.1*'Cooling Tower &amp; Corrugated Fill'!$C$12))+0.62198*(0.61094*EXP(17.625*(((C394+0.1*'Cooling Tower &amp; Corrugated Fill'!$C$12))-32)/1.8/((((C394+0.1*'Cooling Tower &amp; Corrugated Fill'!$C$12))-32)/1.8+243.04)))/('Cooling Tower &amp; Corrugated Fill'!$C$14-(0.61094*EXP(17.625*(((C394+0.1*'Cooling Tower &amp; Corrugated Fill'!$C$12))-32)/1.8/((((C394+0.1*'Cooling Tower &amp; Corrugated Fill'!$C$12))-32)/1.8+243.04))))*(1061+0.444*((C394+0.1*'Cooling Tower &amp; Corrugated Fill'!$C$12))))-('Merkel Solver'!$C$4+'Cooling Tower &amp; Corrugated Fill'!$C$13*0.1*'Cooling Tower &amp; Corrugated Fill'!$C$12)</f>
        <v/>
      </c>
      <c r="E394" s="14">
        <f>(0.24*((C394+0.4*'Cooling Tower &amp; Corrugated Fill'!$C$12))+0.62198*(0.61094*EXP(17.625*(((C394+0.4*'Cooling Tower &amp; Corrugated Fill'!$C$12))-32)/1.8/((((C394+0.4*'Cooling Tower &amp; Corrugated Fill'!$C$12))-32)/1.8+243.04)))/('Cooling Tower &amp; Corrugated Fill'!$C$14-(0.61094*EXP(17.625*(((C394+0.4*'Cooling Tower &amp; Corrugated Fill'!$C$12))-32)/1.8/((((C394+0.4*'Cooling Tower &amp; Corrugated Fill'!$C$12))-32)/1.8+243.04))))*(1061+0.444*((C394+0.4*'Cooling Tower &amp; Corrugated Fill'!$C$12))))-('Merkel Solver'!$C$4+'Cooling Tower &amp; Corrugated Fill'!$C$13*0.4*'Cooling Tower &amp; Corrugated Fill'!$C$12)</f>
        <v/>
      </c>
      <c r="F394" s="14">
        <f>(0.24*((C394+0.6*'Cooling Tower &amp; Corrugated Fill'!$C$12))+0.62198*(0.61094*EXP(17.625*(((C394+0.6*'Cooling Tower &amp; Corrugated Fill'!$C$12))-32)/1.8/((((C394+0.6*'Cooling Tower &amp; Corrugated Fill'!$C$12))-32)/1.8+243.04)))/('Cooling Tower &amp; Corrugated Fill'!$C$14-(0.61094*EXP(17.625*(((C394+0.6*'Cooling Tower &amp; Corrugated Fill'!$C$12))-32)/1.8/((((C394+0.6*'Cooling Tower &amp; Corrugated Fill'!$C$12))-32)/1.8+243.04))))*(1061+0.444*((C394+0.6*'Cooling Tower &amp; Corrugated Fill'!$C$12))))-('Merkel Solver'!$C$4+'Cooling Tower &amp; Corrugated Fill'!$C$13*0.6*'Cooling Tower &amp; Corrugated Fill'!$C$12)</f>
        <v/>
      </c>
      <c r="G394" s="14">
        <f>(0.24*((C394+0.9*'Cooling Tower &amp; Corrugated Fill'!$C$12))+0.62198*(0.61094*EXP(17.625*(((C394+0.9*'Cooling Tower &amp; Corrugated Fill'!$C$12))-32)/1.8/((((C394+0.9*'Cooling Tower &amp; Corrugated Fill'!$C$12))-32)/1.8+243.04)))/('Cooling Tower &amp; Corrugated Fill'!$C$14-(0.61094*EXP(17.625*(((C394+0.9*'Cooling Tower &amp; Corrugated Fill'!$C$12))-32)/1.8/((((C394+0.9*'Cooling Tower &amp; Corrugated Fill'!$C$12))-32)/1.8+243.04))))*(1061+0.444*((C394+0.9*'Cooling Tower &amp; Corrugated Fill'!$C$12))))-('Merkel Solver'!$C$4+'Cooling Tower &amp; Corrugated Fill'!$C$13*0.9*'Cooling Tower &amp; Corrugated Fill'!$C$12)</f>
        <v/>
      </c>
      <c r="H394" s="22">
        <f>IF(MIN(D394:G394)&lt;=0,99999,'Cooling Tower &amp; Corrugated Fill'!$C$12/4*(1/D394+1/E394+1/F394+1/G394))</f>
        <v/>
      </c>
    </row>
    <row r="395">
      <c r="B395" s="30" t="n">
        <v>38.9</v>
      </c>
      <c r="C395" s="12">
        <f>'Dashboard'!$C$9+B395</f>
        <v/>
      </c>
      <c r="D395" s="14">
        <f>(0.24*((C395+0.1*'Cooling Tower &amp; Corrugated Fill'!$C$12))+0.62198*(0.61094*EXP(17.625*(((C395+0.1*'Cooling Tower &amp; Corrugated Fill'!$C$12))-32)/1.8/((((C395+0.1*'Cooling Tower &amp; Corrugated Fill'!$C$12))-32)/1.8+243.04)))/('Cooling Tower &amp; Corrugated Fill'!$C$14-(0.61094*EXP(17.625*(((C395+0.1*'Cooling Tower &amp; Corrugated Fill'!$C$12))-32)/1.8/((((C395+0.1*'Cooling Tower &amp; Corrugated Fill'!$C$12))-32)/1.8+243.04))))*(1061+0.444*((C395+0.1*'Cooling Tower &amp; Corrugated Fill'!$C$12))))-('Merkel Solver'!$C$4+'Cooling Tower &amp; Corrugated Fill'!$C$13*0.1*'Cooling Tower &amp; Corrugated Fill'!$C$12)</f>
        <v/>
      </c>
      <c r="E395" s="14">
        <f>(0.24*((C395+0.4*'Cooling Tower &amp; Corrugated Fill'!$C$12))+0.62198*(0.61094*EXP(17.625*(((C395+0.4*'Cooling Tower &amp; Corrugated Fill'!$C$12))-32)/1.8/((((C395+0.4*'Cooling Tower &amp; Corrugated Fill'!$C$12))-32)/1.8+243.04)))/('Cooling Tower &amp; Corrugated Fill'!$C$14-(0.61094*EXP(17.625*(((C395+0.4*'Cooling Tower &amp; Corrugated Fill'!$C$12))-32)/1.8/((((C395+0.4*'Cooling Tower &amp; Corrugated Fill'!$C$12))-32)/1.8+243.04))))*(1061+0.444*((C395+0.4*'Cooling Tower &amp; Corrugated Fill'!$C$12))))-('Merkel Solver'!$C$4+'Cooling Tower &amp; Corrugated Fill'!$C$13*0.4*'Cooling Tower &amp; Corrugated Fill'!$C$12)</f>
        <v/>
      </c>
      <c r="F395" s="14">
        <f>(0.24*((C395+0.6*'Cooling Tower &amp; Corrugated Fill'!$C$12))+0.62198*(0.61094*EXP(17.625*(((C395+0.6*'Cooling Tower &amp; Corrugated Fill'!$C$12))-32)/1.8/((((C395+0.6*'Cooling Tower &amp; Corrugated Fill'!$C$12))-32)/1.8+243.04)))/('Cooling Tower &amp; Corrugated Fill'!$C$14-(0.61094*EXP(17.625*(((C395+0.6*'Cooling Tower &amp; Corrugated Fill'!$C$12))-32)/1.8/((((C395+0.6*'Cooling Tower &amp; Corrugated Fill'!$C$12))-32)/1.8+243.04))))*(1061+0.444*((C395+0.6*'Cooling Tower &amp; Corrugated Fill'!$C$12))))-('Merkel Solver'!$C$4+'Cooling Tower &amp; Corrugated Fill'!$C$13*0.6*'Cooling Tower &amp; Corrugated Fill'!$C$12)</f>
        <v/>
      </c>
      <c r="G395" s="14">
        <f>(0.24*((C395+0.9*'Cooling Tower &amp; Corrugated Fill'!$C$12))+0.62198*(0.61094*EXP(17.625*(((C395+0.9*'Cooling Tower &amp; Corrugated Fill'!$C$12))-32)/1.8/((((C395+0.9*'Cooling Tower &amp; Corrugated Fill'!$C$12))-32)/1.8+243.04)))/('Cooling Tower &amp; Corrugated Fill'!$C$14-(0.61094*EXP(17.625*(((C395+0.9*'Cooling Tower &amp; Corrugated Fill'!$C$12))-32)/1.8/((((C395+0.9*'Cooling Tower &amp; Corrugated Fill'!$C$12))-32)/1.8+243.04))))*(1061+0.444*((C395+0.9*'Cooling Tower &amp; Corrugated Fill'!$C$12))))-('Merkel Solver'!$C$4+'Cooling Tower &amp; Corrugated Fill'!$C$13*0.9*'Cooling Tower &amp; Corrugated Fill'!$C$12)</f>
        <v/>
      </c>
      <c r="H395" s="22">
        <f>IF(MIN(D395:G395)&lt;=0,99999,'Cooling Tower &amp; Corrugated Fill'!$C$12/4*(1/D395+1/E395+1/F395+1/G395))</f>
        <v/>
      </c>
    </row>
    <row r="396">
      <c r="B396" s="30" t="n">
        <v>39</v>
      </c>
      <c r="C396" s="12">
        <f>'Dashboard'!$C$9+B396</f>
        <v/>
      </c>
      <c r="D396" s="14">
        <f>(0.24*((C396+0.1*'Cooling Tower &amp; Corrugated Fill'!$C$12))+0.62198*(0.61094*EXP(17.625*(((C396+0.1*'Cooling Tower &amp; Corrugated Fill'!$C$12))-32)/1.8/((((C396+0.1*'Cooling Tower &amp; Corrugated Fill'!$C$12))-32)/1.8+243.04)))/('Cooling Tower &amp; Corrugated Fill'!$C$14-(0.61094*EXP(17.625*(((C396+0.1*'Cooling Tower &amp; Corrugated Fill'!$C$12))-32)/1.8/((((C396+0.1*'Cooling Tower &amp; Corrugated Fill'!$C$12))-32)/1.8+243.04))))*(1061+0.444*((C396+0.1*'Cooling Tower &amp; Corrugated Fill'!$C$12))))-('Merkel Solver'!$C$4+'Cooling Tower &amp; Corrugated Fill'!$C$13*0.1*'Cooling Tower &amp; Corrugated Fill'!$C$12)</f>
        <v/>
      </c>
      <c r="E396" s="14">
        <f>(0.24*((C396+0.4*'Cooling Tower &amp; Corrugated Fill'!$C$12))+0.62198*(0.61094*EXP(17.625*(((C396+0.4*'Cooling Tower &amp; Corrugated Fill'!$C$12))-32)/1.8/((((C396+0.4*'Cooling Tower &amp; Corrugated Fill'!$C$12))-32)/1.8+243.04)))/('Cooling Tower &amp; Corrugated Fill'!$C$14-(0.61094*EXP(17.625*(((C396+0.4*'Cooling Tower &amp; Corrugated Fill'!$C$12))-32)/1.8/((((C396+0.4*'Cooling Tower &amp; Corrugated Fill'!$C$12))-32)/1.8+243.04))))*(1061+0.444*((C396+0.4*'Cooling Tower &amp; Corrugated Fill'!$C$12))))-('Merkel Solver'!$C$4+'Cooling Tower &amp; Corrugated Fill'!$C$13*0.4*'Cooling Tower &amp; Corrugated Fill'!$C$12)</f>
        <v/>
      </c>
      <c r="F396" s="14">
        <f>(0.24*((C396+0.6*'Cooling Tower &amp; Corrugated Fill'!$C$12))+0.62198*(0.61094*EXP(17.625*(((C396+0.6*'Cooling Tower &amp; Corrugated Fill'!$C$12))-32)/1.8/((((C396+0.6*'Cooling Tower &amp; Corrugated Fill'!$C$12))-32)/1.8+243.04)))/('Cooling Tower &amp; Corrugated Fill'!$C$14-(0.61094*EXP(17.625*(((C396+0.6*'Cooling Tower &amp; Corrugated Fill'!$C$12))-32)/1.8/((((C396+0.6*'Cooling Tower &amp; Corrugated Fill'!$C$12))-32)/1.8+243.04))))*(1061+0.444*((C396+0.6*'Cooling Tower &amp; Corrugated Fill'!$C$12))))-('Merkel Solver'!$C$4+'Cooling Tower &amp; Corrugated Fill'!$C$13*0.6*'Cooling Tower &amp; Corrugated Fill'!$C$12)</f>
        <v/>
      </c>
      <c r="G396" s="14">
        <f>(0.24*((C396+0.9*'Cooling Tower &amp; Corrugated Fill'!$C$12))+0.62198*(0.61094*EXP(17.625*(((C396+0.9*'Cooling Tower &amp; Corrugated Fill'!$C$12))-32)/1.8/((((C396+0.9*'Cooling Tower &amp; Corrugated Fill'!$C$12))-32)/1.8+243.04)))/('Cooling Tower &amp; Corrugated Fill'!$C$14-(0.61094*EXP(17.625*(((C396+0.9*'Cooling Tower &amp; Corrugated Fill'!$C$12))-32)/1.8/((((C396+0.9*'Cooling Tower &amp; Corrugated Fill'!$C$12))-32)/1.8+243.04))))*(1061+0.444*((C396+0.9*'Cooling Tower &amp; Corrugated Fill'!$C$12))))-('Merkel Solver'!$C$4+'Cooling Tower &amp; Corrugated Fill'!$C$13*0.9*'Cooling Tower &amp; Corrugated Fill'!$C$12)</f>
        <v/>
      </c>
      <c r="H396" s="22">
        <f>IF(MIN(D396:G396)&lt;=0,99999,'Cooling Tower &amp; Corrugated Fill'!$C$12/4*(1/D396+1/E396+1/F396+1/G396))</f>
        <v/>
      </c>
    </row>
    <row r="397">
      <c r="B397" s="30" t="n">
        <v>39.1</v>
      </c>
      <c r="C397" s="12">
        <f>'Dashboard'!$C$9+B397</f>
        <v/>
      </c>
      <c r="D397" s="14">
        <f>(0.24*((C397+0.1*'Cooling Tower &amp; Corrugated Fill'!$C$12))+0.62198*(0.61094*EXP(17.625*(((C397+0.1*'Cooling Tower &amp; Corrugated Fill'!$C$12))-32)/1.8/((((C397+0.1*'Cooling Tower &amp; Corrugated Fill'!$C$12))-32)/1.8+243.04)))/('Cooling Tower &amp; Corrugated Fill'!$C$14-(0.61094*EXP(17.625*(((C397+0.1*'Cooling Tower &amp; Corrugated Fill'!$C$12))-32)/1.8/((((C397+0.1*'Cooling Tower &amp; Corrugated Fill'!$C$12))-32)/1.8+243.04))))*(1061+0.444*((C397+0.1*'Cooling Tower &amp; Corrugated Fill'!$C$12))))-('Merkel Solver'!$C$4+'Cooling Tower &amp; Corrugated Fill'!$C$13*0.1*'Cooling Tower &amp; Corrugated Fill'!$C$12)</f>
        <v/>
      </c>
      <c r="E397" s="14">
        <f>(0.24*((C397+0.4*'Cooling Tower &amp; Corrugated Fill'!$C$12))+0.62198*(0.61094*EXP(17.625*(((C397+0.4*'Cooling Tower &amp; Corrugated Fill'!$C$12))-32)/1.8/((((C397+0.4*'Cooling Tower &amp; Corrugated Fill'!$C$12))-32)/1.8+243.04)))/('Cooling Tower &amp; Corrugated Fill'!$C$14-(0.61094*EXP(17.625*(((C397+0.4*'Cooling Tower &amp; Corrugated Fill'!$C$12))-32)/1.8/((((C397+0.4*'Cooling Tower &amp; Corrugated Fill'!$C$12))-32)/1.8+243.04))))*(1061+0.444*((C397+0.4*'Cooling Tower &amp; Corrugated Fill'!$C$12))))-('Merkel Solver'!$C$4+'Cooling Tower &amp; Corrugated Fill'!$C$13*0.4*'Cooling Tower &amp; Corrugated Fill'!$C$12)</f>
        <v/>
      </c>
      <c r="F397" s="14">
        <f>(0.24*((C397+0.6*'Cooling Tower &amp; Corrugated Fill'!$C$12))+0.62198*(0.61094*EXP(17.625*(((C397+0.6*'Cooling Tower &amp; Corrugated Fill'!$C$12))-32)/1.8/((((C397+0.6*'Cooling Tower &amp; Corrugated Fill'!$C$12))-32)/1.8+243.04)))/('Cooling Tower &amp; Corrugated Fill'!$C$14-(0.61094*EXP(17.625*(((C397+0.6*'Cooling Tower &amp; Corrugated Fill'!$C$12))-32)/1.8/((((C397+0.6*'Cooling Tower &amp; Corrugated Fill'!$C$12))-32)/1.8+243.04))))*(1061+0.444*((C397+0.6*'Cooling Tower &amp; Corrugated Fill'!$C$12))))-('Merkel Solver'!$C$4+'Cooling Tower &amp; Corrugated Fill'!$C$13*0.6*'Cooling Tower &amp; Corrugated Fill'!$C$12)</f>
        <v/>
      </c>
      <c r="G397" s="14">
        <f>(0.24*((C397+0.9*'Cooling Tower &amp; Corrugated Fill'!$C$12))+0.62198*(0.61094*EXP(17.625*(((C397+0.9*'Cooling Tower &amp; Corrugated Fill'!$C$12))-32)/1.8/((((C397+0.9*'Cooling Tower &amp; Corrugated Fill'!$C$12))-32)/1.8+243.04)))/('Cooling Tower &amp; Corrugated Fill'!$C$14-(0.61094*EXP(17.625*(((C397+0.9*'Cooling Tower &amp; Corrugated Fill'!$C$12))-32)/1.8/((((C397+0.9*'Cooling Tower &amp; Corrugated Fill'!$C$12))-32)/1.8+243.04))))*(1061+0.444*((C397+0.9*'Cooling Tower &amp; Corrugated Fill'!$C$12))))-('Merkel Solver'!$C$4+'Cooling Tower &amp; Corrugated Fill'!$C$13*0.9*'Cooling Tower &amp; Corrugated Fill'!$C$12)</f>
        <v/>
      </c>
      <c r="H397" s="22">
        <f>IF(MIN(D397:G397)&lt;=0,99999,'Cooling Tower &amp; Corrugated Fill'!$C$12/4*(1/D397+1/E397+1/F397+1/G397))</f>
        <v/>
      </c>
    </row>
    <row r="398">
      <c r="B398" s="30" t="n">
        <v>39.2</v>
      </c>
      <c r="C398" s="12">
        <f>'Dashboard'!$C$9+B398</f>
        <v/>
      </c>
      <c r="D398" s="14">
        <f>(0.24*((C398+0.1*'Cooling Tower &amp; Corrugated Fill'!$C$12))+0.62198*(0.61094*EXP(17.625*(((C398+0.1*'Cooling Tower &amp; Corrugated Fill'!$C$12))-32)/1.8/((((C398+0.1*'Cooling Tower &amp; Corrugated Fill'!$C$12))-32)/1.8+243.04)))/('Cooling Tower &amp; Corrugated Fill'!$C$14-(0.61094*EXP(17.625*(((C398+0.1*'Cooling Tower &amp; Corrugated Fill'!$C$12))-32)/1.8/((((C398+0.1*'Cooling Tower &amp; Corrugated Fill'!$C$12))-32)/1.8+243.04))))*(1061+0.444*((C398+0.1*'Cooling Tower &amp; Corrugated Fill'!$C$12))))-('Merkel Solver'!$C$4+'Cooling Tower &amp; Corrugated Fill'!$C$13*0.1*'Cooling Tower &amp; Corrugated Fill'!$C$12)</f>
        <v/>
      </c>
      <c r="E398" s="14">
        <f>(0.24*((C398+0.4*'Cooling Tower &amp; Corrugated Fill'!$C$12))+0.62198*(0.61094*EXP(17.625*(((C398+0.4*'Cooling Tower &amp; Corrugated Fill'!$C$12))-32)/1.8/((((C398+0.4*'Cooling Tower &amp; Corrugated Fill'!$C$12))-32)/1.8+243.04)))/('Cooling Tower &amp; Corrugated Fill'!$C$14-(0.61094*EXP(17.625*(((C398+0.4*'Cooling Tower &amp; Corrugated Fill'!$C$12))-32)/1.8/((((C398+0.4*'Cooling Tower &amp; Corrugated Fill'!$C$12))-32)/1.8+243.04))))*(1061+0.444*((C398+0.4*'Cooling Tower &amp; Corrugated Fill'!$C$12))))-('Merkel Solver'!$C$4+'Cooling Tower &amp; Corrugated Fill'!$C$13*0.4*'Cooling Tower &amp; Corrugated Fill'!$C$12)</f>
        <v/>
      </c>
      <c r="F398" s="14">
        <f>(0.24*((C398+0.6*'Cooling Tower &amp; Corrugated Fill'!$C$12))+0.62198*(0.61094*EXP(17.625*(((C398+0.6*'Cooling Tower &amp; Corrugated Fill'!$C$12))-32)/1.8/((((C398+0.6*'Cooling Tower &amp; Corrugated Fill'!$C$12))-32)/1.8+243.04)))/('Cooling Tower &amp; Corrugated Fill'!$C$14-(0.61094*EXP(17.625*(((C398+0.6*'Cooling Tower &amp; Corrugated Fill'!$C$12))-32)/1.8/((((C398+0.6*'Cooling Tower &amp; Corrugated Fill'!$C$12))-32)/1.8+243.04))))*(1061+0.444*((C398+0.6*'Cooling Tower &amp; Corrugated Fill'!$C$12))))-('Merkel Solver'!$C$4+'Cooling Tower &amp; Corrugated Fill'!$C$13*0.6*'Cooling Tower &amp; Corrugated Fill'!$C$12)</f>
        <v/>
      </c>
      <c r="G398" s="14">
        <f>(0.24*((C398+0.9*'Cooling Tower &amp; Corrugated Fill'!$C$12))+0.62198*(0.61094*EXP(17.625*(((C398+0.9*'Cooling Tower &amp; Corrugated Fill'!$C$12))-32)/1.8/((((C398+0.9*'Cooling Tower &amp; Corrugated Fill'!$C$12))-32)/1.8+243.04)))/('Cooling Tower &amp; Corrugated Fill'!$C$14-(0.61094*EXP(17.625*(((C398+0.9*'Cooling Tower &amp; Corrugated Fill'!$C$12))-32)/1.8/((((C398+0.9*'Cooling Tower &amp; Corrugated Fill'!$C$12))-32)/1.8+243.04))))*(1061+0.444*((C398+0.9*'Cooling Tower &amp; Corrugated Fill'!$C$12))))-('Merkel Solver'!$C$4+'Cooling Tower &amp; Corrugated Fill'!$C$13*0.9*'Cooling Tower &amp; Corrugated Fill'!$C$12)</f>
        <v/>
      </c>
      <c r="H398" s="22">
        <f>IF(MIN(D398:G398)&lt;=0,99999,'Cooling Tower &amp; Corrugated Fill'!$C$12/4*(1/D398+1/E398+1/F398+1/G398))</f>
        <v/>
      </c>
    </row>
    <row r="399">
      <c r="B399" s="30" t="n">
        <v>39.3</v>
      </c>
      <c r="C399" s="12">
        <f>'Dashboard'!$C$9+B399</f>
        <v/>
      </c>
      <c r="D399" s="14">
        <f>(0.24*((C399+0.1*'Cooling Tower &amp; Corrugated Fill'!$C$12))+0.62198*(0.61094*EXP(17.625*(((C399+0.1*'Cooling Tower &amp; Corrugated Fill'!$C$12))-32)/1.8/((((C399+0.1*'Cooling Tower &amp; Corrugated Fill'!$C$12))-32)/1.8+243.04)))/('Cooling Tower &amp; Corrugated Fill'!$C$14-(0.61094*EXP(17.625*(((C399+0.1*'Cooling Tower &amp; Corrugated Fill'!$C$12))-32)/1.8/((((C399+0.1*'Cooling Tower &amp; Corrugated Fill'!$C$12))-32)/1.8+243.04))))*(1061+0.444*((C399+0.1*'Cooling Tower &amp; Corrugated Fill'!$C$12))))-('Merkel Solver'!$C$4+'Cooling Tower &amp; Corrugated Fill'!$C$13*0.1*'Cooling Tower &amp; Corrugated Fill'!$C$12)</f>
        <v/>
      </c>
      <c r="E399" s="14">
        <f>(0.24*((C399+0.4*'Cooling Tower &amp; Corrugated Fill'!$C$12))+0.62198*(0.61094*EXP(17.625*(((C399+0.4*'Cooling Tower &amp; Corrugated Fill'!$C$12))-32)/1.8/((((C399+0.4*'Cooling Tower &amp; Corrugated Fill'!$C$12))-32)/1.8+243.04)))/('Cooling Tower &amp; Corrugated Fill'!$C$14-(0.61094*EXP(17.625*(((C399+0.4*'Cooling Tower &amp; Corrugated Fill'!$C$12))-32)/1.8/((((C399+0.4*'Cooling Tower &amp; Corrugated Fill'!$C$12))-32)/1.8+243.04))))*(1061+0.444*((C399+0.4*'Cooling Tower &amp; Corrugated Fill'!$C$12))))-('Merkel Solver'!$C$4+'Cooling Tower &amp; Corrugated Fill'!$C$13*0.4*'Cooling Tower &amp; Corrugated Fill'!$C$12)</f>
        <v/>
      </c>
      <c r="F399" s="14">
        <f>(0.24*((C399+0.6*'Cooling Tower &amp; Corrugated Fill'!$C$12))+0.62198*(0.61094*EXP(17.625*(((C399+0.6*'Cooling Tower &amp; Corrugated Fill'!$C$12))-32)/1.8/((((C399+0.6*'Cooling Tower &amp; Corrugated Fill'!$C$12))-32)/1.8+243.04)))/('Cooling Tower &amp; Corrugated Fill'!$C$14-(0.61094*EXP(17.625*(((C399+0.6*'Cooling Tower &amp; Corrugated Fill'!$C$12))-32)/1.8/((((C399+0.6*'Cooling Tower &amp; Corrugated Fill'!$C$12))-32)/1.8+243.04))))*(1061+0.444*((C399+0.6*'Cooling Tower &amp; Corrugated Fill'!$C$12))))-('Merkel Solver'!$C$4+'Cooling Tower &amp; Corrugated Fill'!$C$13*0.6*'Cooling Tower &amp; Corrugated Fill'!$C$12)</f>
        <v/>
      </c>
      <c r="G399" s="14">
        <f>(0.24*((C399+0.9*'Cooling Tower &amp; Corrugated Fill'!$C$12))+0.62198*(0.61094*EXP(17.625*(((C399+0.9*'Cooling Tower &amp; Corrugated Fill'!$C$12))-32)/1.8/((((C399+0.9*'Cooling Tower &amp; Corrugated Fill'!$C$12))-32)/1.8+243.04)))/('Cooling Tower &amp; Corrugated Fill'!$C$14-(0.61094*EXP(17.625*(((C399+0.9*'Cooling Tower &amp; Corrugated Fill'!$C$12))-32)/1.8/((((C399+0.9*'Cooling Tower &amp; Corrugated Fill'!$C$12))-32)/1.8+243.04))))*(1061+0.444*((C399+0.9*'Cooling Tower &amp; Corrugated Fill'!$C$12))))-('Merkel Solver'!$C$4+'Cooling Tower &amp; Corrugated Fill'!$C$13*0.9*'Cooling Tower &amp; Corrugated Fill'!$C$12)</f>
        <v/>
      </c>
      <c r="H399" s="22">
        <f>IF(MIN(D399:G399)&lt;=0,99999,'Cooling Tower &amp; Corrugated Fill'!$C$12/4*(1/D399+1/E399+1/F399+1/G399))</f>
        <v/>
      </c>
    </row>
    <row r="400">
      <c r="B400" s="30" t="n">
        <v>39.4</v>
      </c>
      <c r="C400" s="12">
        <f>'Dashboard'!$C$9+B400</f>
        <v/>
      </c>
      <c r="D400" s="14">
        <f>(0.24*((C400+0.1*'Cooling Tower &amp; Corrugated Fill'!$C$12))+0.62198*(0.61094*EXP(17.625*(((C400+0.1*'Cooling Tower &amp; Corrugated Fill'!$C$12))-32)/1.8/((((C400+0.1*'Cooling Tower &amp; Corrugated Fill'!$C$12))-32)/1.8+243.04)))/('Cooling Tower &amp; Corrugated Fill'!$C$14-(0.61094*EXP(17.625*(((C400+0.1*'Cooling Tower &amp; Corrugated Fill'!$C$12))-32)/1.8/((((C400+0.1*'Cooling Tower &amp; Corrugated Fill'!$C$12))-32)/1.8+243.04))))*(1061+0.444*((C400+0.1*'Cooling Tower &amp; Corrugated Fill'!$C$12))))-('Merkel Solver'!$C$4+'Cooling Tower &amp; Corrugated Fill'!$C$13*0.1*'Cooling Tower &amp; Corrugated Fill'!$C$12)</f>
        <v/>
      </c>
      <c r="E400" s="14">
        <f>(0.24*((C400+0.4*'Cooling Tower &amp; Corrugated Fill'!$C$12))+0.62198*(0.61094*EXP(17.625*(((C400+0.4*'Cooling Tower &amp; Corrugated Fill'!$C$12))-32)/1.8/((((C400+0.4*'Cooling Tower &amp; Corrugated Fill'!$C$12))-32)/1.8+243.04)))/('Cooling Tower &amp; Corrugated Fill'!$C$14-(0.61094*EXP(17.625*(((C400+0.4*'Cooling Tower &amp; Corrugated Fill'!$C$12))-32)/1.8/((((C400+0.4*'Cooling Tower &amp; Corrugated Fill'!$C$12))-32)/1.8+243.04))))*(1061+0.444*((C400+0.4*'Cooling Tower &amp; Corrugated Fill'!$C$12))))-('Merkel Solver'!$C$4+'Cooling Tower &amp; Corrugated Fill'!$C$13*0.4*'Cooling Tower &amp; Corrugated Fill'!$C$12)</f>
        <v/>
      </c>
      <c r="F400" s="14">
        <f>(0.24*((C400+0.6*'Cooling Tower &amp; Corrugated Fill'!$C$12))+0.62198*(0.61094*EXP(17.625*(((C400+0.6*'Cooling Tower &amp; Corrugated Fill'!$C$12))-32)/1.8/((((C400+0.6*'Cooling Tower &amp; Corrugated Fill'!$C$12))-32)/1.8+243.04)))/('Cooling Tower &amp; Corrugated Fill'!$C$14-(0.61094*EXP(17.625*(((C400+0.6*'Cooling Tower &amp; Corrugated Fill'!$C$12))-32)/1.8/((((C400+0.6*'Cooling Tower &amp; Corrugated Fill'!$C$12))-32)/1.8+243.04))))*(1061+0.444*((C400+0.6*'Cooling Tower &amp; Corrugated Fill'!$C$12))))-('Merkel Solver'!$C$4+'Cooling Tower &amp; Corrugated Fill'!$C$13*0.6*'Cooling Tower &amp; Corrugated Fill'!$C$12)</f>
        <v/>
      </c>
      <c r="G400" s="14">
        <f>(0.24*((C400+0.9*'Cooling Tower &amp; Corrugated Fill'!$C$12))+0.62198*(0.61094*EXP(17.625*(((C400+0.9*'Cooling Tower &amp; Corrugated Fill'!$C$12))-32)/1.8/((((C400+0.9*'Cooling Tower &amp; Corrugated Fill'!$C$12))-32)/1.8+243.04)))/('Cooling Tower &amp; Corrugated Fill'!$C$14-(0.61094*EXP(17.625*(((C400+0.9*'Cooling Tower &amp; Corrugated Fill'!$C$12))-32)/1.8/((((C400+0.9*'Cooling Tower &amp; Corrugated Fill'!$C$12))-32)/1.8+243.04))))*(1061+0.444*((C400+0.9*'Cooling Tower &amp; Corrugated Fill'!$C$12))))-('Merkel Solver'!$C$4+'Cooling Tower &amp; Corrugated Fill'!$C$13*0.9*'Cooling Tower &amp; Corrugated Fill'!$C$12)</f>
        <v/>
      </c>
      <c r="H400" s="22">
        <f>IF(MIN(D400:G400)&lt;=0,99999,'Cooling Tower &amp; Corrugated Fill'!$C$12/4*(1/D400+1/E400+1/F400+1/G400))</f>
        <v/>
      </c>
    </row>
    <row r="401">
      <c r="B401" s="30" t="n">
        <v>39.5</v>
      </c>
      <c r="C401" s="12">
        <f>'Dashboard'!$C$9+B401</f>
        <v/>
      </c>
      <c r="D401" s="14">
        <f>(0.24*((C401+0.1*'Cooling Tower &amp; Corrugated Fill'!$C$12))+0.62198*(0.61094*EXP(17.625*(((C401+0.1*'Cooling Tower &amp; Corrugated Fill'!$C$12))-32)/1.8/((((C401+0.1*'Cooling Tower &amp; Corrugated Fill'!$C$12))-32)/1.8+243.04)))/('Cooling Tower &amp; Corrugated Fill'!$C$14-(0.61094*EXP(17.625*(((C401+0.1*'Cooling Tower &amp; Corrugated Fill'!$C$12))-32)/1.8/((((C401+0.1*'Cooling Tower &amp; Corrugated Fill'!$C$12))-32)/1.8+243.04))))*(1061+0.444*((C401+0.1*'Cooling Tower &amp; Corrugated Fill'!$C$12))))-('Merkel Solver'!$C$4+'Cooling Tower &amp; Corrugated Fill'!$C$13*0.1*'Cooling Tower &amp; Corrugated Fill'!$C$12)</f>
        <v/>
      </c>
      <c r="E401" s="14">
        <f>(0.24*((C401+0.4*'Cooling Tower &amp; Corrugated Fill'!$C$12))+0.62198*(0.61094*EXP(17.625*(((C401+0.4*'Cooling Tower &amp; Corrugated Fill'!$C$12))-32)/1.8/((((C401+0.4*'Cooling Tower &amp; Corrugated Fill'!$C$12))-32)/1.8+243.04)))/('Cooling Tower &amp; Corrugated Fill'!$C$14-(0.61094*EXP(17.625*(((C401+0.4*'Cooling Tower &amp; Corrugated Fill'!$C$12))-32)/1.8/((((C401+0.4*'Cooling Tower &amp; Corrugated Fill'!$C$12))-32)/1.8+243.04))))*(1061+0.444*((C401+0.4*'Cooling Tower &amp; Corrugated Fill'!$C$12))))-('Merkel Solver'!$C$4+'Cooling Tower &amp; Corrugated Fill'!$C$13*0.4*'Cooling Tower &amp; Corrugated Fill'!$C$12)</f>
        <v/>
      </c>
      <c r="F401" s="14">
        <f>(0.24*((C401+0.6*'Cooling Tower &amp; Corrugated Fill'!$C$12))+0.62198*(0.61094*EXP(17.625*(((C401+0.6*'Cooling Tower &amp; Corrugated Fill'!$C$12))-32)/1.8/((((C401+0.6*'Cooling Tower &amp; Corrugated Fill'!$C$12))-32)/1.8+243.04)))/('Cooling Tower &amp; Corrugated Fill'!$C$14-(0.61094*EXP(17.625*(((C401+0.6*'Cooling Tower &amp; Corrugated Fill'!$C$12))-32)/1.8/((((C401+0.6*'Cooling Tower &amp; Corrugated Fill'!$C$12))-32)/1.8+243.04))))*(1061+0.444*((C401+0.6*'Cooling Tower &amp; Corrugated Fill'!$C$12))))-('Merkel Solver'!$C$4+'Cooling Tower &amp; Corrugated Fill'!$C$13*0.6*'Cooling Tower &amp; Corrugated Fill'!$C$12)</f>
        <v/>
      </c>
      <c r="G401" s="14">
        <f>(0.24*((C401+0.9*'Cooling Tower &amp; Corrugated Fill'!$C$12))+0.62198*(0.61094*EXP(17.625*(((C401+0.9*'Cooling Tower &amp; Corrugated Fill'!$C$12))-32)/1.8/((((C401+0.9*'Cooling Tower &amp; Corrugated Fill'!$C$12))-32)/1.8+243.04)))/('Cooling Tower &amp; Corrugated Fill'!$C$14-(0.61094*EXP(17.625*(((C401+0.9*'Cooling Tower &amp; Corrugated Fill'!$C$12))-32)/1.8/((((C401+0.9*'Cooling Tower &amp; Corrugated Fill'!$C$12))-32)/1.8+243.04))))*(1061+0.444*((C401+0.9*'Cooling Tower &amp; Corrugated Fill'!$C$12))))-('Merkel Solver'!$C$4+'Cooling Tower &amp; Corrugated Fill'!$C$13*0.9*'Cooling Tower &amp; Corrugated Fill'!$C$12)</f>
        <v/>
      </c>
      <c r="H401" s="22">
        <f>IF(MIN(D401:G401)&lt;=0,99999,'Cooling Tower &amp; Corrugated Fill'!$C$12/4*(1/D401+1/E401+1/F401+1/G401))</f>
        <v/>
      </c>
    </row>
    <row r="402">
      <c r="B402" s="30" t="n">
        <v>39.6</v>
      </c>
      <c r="C402" s="12">
        <f>'Dashboard'!$C$9+B402</f>
        <v/>
      </c>
      <c r="D402" s="14">
        <f>(0.24*((C402+0.1*'Cooling Tower &amp; Corrugated Fill'!$C$12))+0.62198*(0.61094*EXP(17.625*(((C402+0.1*'Cooling Tower &amp; Corrugated Fill'!$C$12))-32)/1.8/((((C402+0.1*'Cooling Tower &amp; Corrugated Fill'!$C$12))-32)/1.8+243.04)))/('Cooling Tower &amp; Corrugated Fill'!$C$14-(0.61094*EXP(17.625*(((C402+0.1*'Cooling Tower &amp; Corrugated Fill'!$C$12))-32)/1.8/((((C402+0.1*'Cooling Tower &amp; Corrugated Fill'!$C$12))-32)/1.8+243.04))))*(1061+0.444*((C402+0.1*'Cooling Tower &amp; Corrugated Fill'!$C$12))))-('Merkel Solver'!$C$4+'Cooling Tower &amp; Corrugated Fill'!$C$13*0.1*'Cooling Tower &amp; Corrugated Fill'!$C$12)</f>
        <v/>
      </c>
      <c r="E402" s="14">
        <f>(0.24*((C402+0.4*'Cooling Tower &amp; Corrugated Fill'!$C$12))+0.62198*(0.61094*EXP(17.625*(((C402+0.4*'Cooling Tower &amp; Corrugated Fill'!$C$12))-32)/1.8/((((C402+0.4*'Cooling Tower &amp; Corrugated Fill'!$C$12))-32)/1.8+243.04)))/('Cooling Tower &amp; Corrugated Fill'!$C$14-(0.61094*EXP(17.625*(((C402+0.4*'Cooling Tower &amp; Corrugated Fill'!$C$12))-32)/1.8/((((C402+0.4*'Cooling Tower &amp; Corrugated Fill'!$C$12))-32)/1.8+243.04))))*(1061+0.444*((C402+0.4*'Cooling Tower &amp; Corrugated Fill'!$C$12))))-('Merkel Solver'!$C$4+'Cooling Tower &amp; Corrugated Fill'!$C$13*0.4*'Cooling Tower &amp; Corrugated Fill'!$C$12)</f>
        <v/>
      </c>
      <c r="F402" s="14">
        <f>(0.24*((C402+0.6*'Cooling Tower &amp; Corrugated Fill'!$C$12))+0.62198*(0.61094*EXP(17.625*(((C402+0.6*'Cooling Tower &amp; Corrugated Fill'!$C$12))-32)/1.8/((((C402+0.6*'Cooling Tower &amp; Corrugated Fill'!$C$12))-32)/1.8+243.04)))/('Cooling Tower &amp; Corrugated Fill'!$C$14-(0.61094*EXP(17.625*(((C402+0.6*'Cooling Tower &amp; Corrugated Fill'!$C$12))-32)/1.8/((((C402+0.6*'Cooling Tower &amp; Corrugated Fill'!$C$12))-32)/1.8+243.04))))*(1061+0.444*((C402+0.6*'Cooling Tower &amp; Corrugated Fill'!$C$12))))-('Merkel Solver'!$C$4+'Cooling Tower &amp; Corrugated Fill'!$C$13*0.6*'Cooling Tower &amp; Corrugated Fill'!$C$12)</f>
        <v/>
      </c>
      <c r="G402" s="14">
        <f>(0.24*((C402+0.9*'Cooling Tower &amp; Corrugated Fill'!$C$12))+0.62198*(0.61094*EXP(17.625*(((C402+0.9*'Cooling Tower &amp; Corrugated Fill'!$C$12))-32)/1.8/((((C402+0.9*'Cooling Tower &amp; Corrugated Fill'!$C$12))-32)/1.8+243.04)))/('Cooling Tower &amp; Corrugated Fill'!$C$14-(0.61094*EXP(17.625*(((C402+0.9*'Cooling Tower &amp; Corrugated Fill'!$C$12))-32)/1.8/((((C402+0.9*'Cooling Tower &amp; Corrugated Fill'!$C$12))-32)/1.8+243.04))))*(1061+0.444*((C402+0.9*'Cooling Tower &amp; Corrugated Fill'!$C$12))))-('Merkel Solver'!$C$4+'Cooling Tower &amp; Corrugated Fill'!$C$13*0.9*'Cooling Tower &amp; Corrugated Fill'!$C$12)</f>
        <v/>
      </c>
      <c r="H402" s="22">
        <f>IF(MIN(D402:G402)&lt;=0,99999,'Cooling Tower &amp; Corrugated Fill'!$C$12/4*(1/D402+1/E402+1/F402+1/G402))</f>
        <v/>
      </c>
    </row>
    <row r="403">
      <c r="B403" s="30" t="n">
        <v>39.7</v>
      </c>
      <c r="C403" s="12">
        <f>'Dashboard'!$C$9+B403</f>
        <v/>
      </c>
      <c r="D403" s="14">
        <f>(0.24*((C403+0.1*'Cooling Tower &amp; Corrugated Fill'!$C$12))+0.62198*(0.61094*EXP(17.625*(((C403+0.1*'Cooling Tower &amp; Corrugated Fill'!$C$12))-32)/1.8/((((C403+0.1*'Cooling Tower &amp; Corrugated Fill'!$C$12))-32)/1.8+243.04)))/('Cooling Tower &amp; Corrugated Fill'!$C$14-(0.61094*EXP(17.625*(((C403+0.1*'Cooling Tower &amp; Corrugated Fill'!$C$12))-32)/1.8/((((C403+0.1*'Cooling Tower &amp; Corrugated Fill'!$C$12))-32)/1.8+243.04))))*(1061+0.444*((C403+0.1*'Cooling Tower &amp; Corrugated Fill'!$C$12))))-('Merkel Solver'!$C$4+'Cooling Tower &amp; Corrugated Fill'!$C$13*0.1*'Cooling Tower &amp; Corrugated Fill'!$C$12)</f>
        <v/>
      </c>
      <c r="E403" s="14">
        <f>(0.24*((C403+0.4*'Cooling Tower &amp; Corrugated Fill'!$C$12))+0.62198*(0.61094*EXP(17.625*(((C403+0.4*'Cooling Tower &amp; Corrugated Fill'!$C$12))-32)/1.8/((((C403+0.4*'Cooling Tower &amp; Corrugated Fill'!$C$12))-32)/1.8+243.04)))/('Cooling Tower &amp; Corrugated Fill'!$C$14-(0.61094*EXP(17.625*(((C403+0.4*'Cooling Tower &amp; Corrugated Fill'!$C$12))-32)/1.8/((((C403+0.4*'Cooling Tower &amp; Corrugated Fill'!$C$12))-32)/1.8+243.04))))*(1061+0.444*((C403+0.4*'Cooling Tower &amp; Corrugated Fill'!$C$12))))-('Merkel Solver'!$C$4+'Cooling Tower &amp; Corrugated Fill'!$C$13*0.4*'Cooling Tower &amp; Corrugated Fill'!$C$12)</f>
        <v/>
      </c>
      <c r="F403" s="14">
        <f>(0.24*((C403+0.6*'Cooling Tower &amp; Corrugated Fill'!$C$12))+0.62198*(0.61094*EXP(17.625*(((C403+0.6*'Cooling Tower &amp; Corrugated Fill'!$C$12))-32)/1.8/((((C403+0.6*'Cooling Tower &amp; Corrugated Fill'!$C$12))-32)/1.8+243.04)))/('Cooling Tower &amp; Corrugated Fill'!$C$14-(0.61094*EXP(17.625*(((C403+0.6*'Cooling Tower &amp; Corrugated Fill'!$C$12))-32)/1.8/((((C403+0.6*'Cooling Tower &amp; Corrugated Fill'!$C$12))-32)/1.8+243.04))))*(1061+0.444*((C403+0.6*'Cooling Tower &amp; Corrugated Fill'!$C$12))))-('Merkel Solver'!$C$4+'Cooling Tower &amp; Corrugated Fill'!$C$13*0.6*'Cooling Tower &amp; Corrugated Fill'!$C$12)</f>
        <v/>
      </c>
      <c r="G403" s="14">
        <f>(0.24*((C403+0.9*'Cooling Tower &amp; Corrugated Fill'!$C$12))+0.62198*(0.61094*EXP(17.625*(((C403+0.9*'Cooling Tower &amp; Corrugated Fill'!$C$12))-32)/1.8/((((C403+0.9*'Cooling Tower &amp; Corrugated Fill'!$C$12))-32)/1.8+243.04)))/('Cooling Tower &amp; Corrugated Fill'!$C$14-(0.61094*EXP(17.625*(((C403+0.9*'Cooling Tower &amp; Corrugated Fill'!$C$12))-32)/1.8/((((C403+0.9*'Cooling Tower &amp; Corrugated Fill'!$C$12))-32)/1.8+243.04))))*(1061+0.444*((C403+0.9*'Cooling Tower &amp; Corrugated Fill'!$C$12))))-('Merkel Solver'!$C$4+'Cooling Tower &amp; Corrugated Fill'!$C$13*0.9*'Cooling Tower &amp; Corrugated Fill'!$C$12)</f>
        <v/>
      </c>
      <c r="H403" s="22">
        <f>IF(MIN(D403:G403)&lt;=0,99999,'Cooling Tower &amp; Corrugated Fill'!$C$12/4*(1/D403+1/E403+1/F403+1/G403))</f>
        <v/>
      </c>
    </row>
    <row r="404">
      <c r="B404" s="30" t="n">
        <v>39.8</v>
      </c>
      <c r="C404" s="12">
        <f>'Dashboard'!$C$9+B404</f>
        <v/>
      </c>
      <c r="D404" s="14">
        <f>(0.24*((C404+0.1*'Cooling Tower &amp; Corrugated Fill'!$C$12))+0.62198*(0.61094*EXP(17.625*(((C404+0.1*'Cooling Tower &amp; Corrugated Fill'!$C$12))-32)/1.8/((((C404+0.1*'Cooling Tower &amp; Corrugated Fill'!$C$12))-32)/1.8+243.04)))/('Cooling Tower &amp; Corrugated Fill'!$C$14-(0.61094*EXP(17.625*(((C404+0.1*'Cooling Tower &amp; Corrugated Fill'!$C$12))-32)/1.8/((((C404+0.1*'Cooling Tower &amp; Corrugated Fill'!$C$12))-32)/1.8+243.04))))*(1061+0.444*((C404+0.1*'Cooling Tower &amp; Corrugated Fill'!$C$12))))-('Merkel Solver'!$C$4+'Cooling Tower &amp; Corrugated Fill'!$C$13*0.1*'Cooling Tower &amp; Corrugated Fill'!$C$12)</f>
        <v/>
      </c>
      <c r="E404" s="14">
        <f>(0.24*((C404+0.4*'Cooling Tower &amp; Corrugated Fill'!$C$12))+0.62198*(0.61094*EXP(17.625*(((C404+0.4*'Cooling Tower &amp; Corrugated Fill'!$C$12))-32)/1.8/((((C404+0.4*'Cooling Tower &amp; Corrugated Fill'!$C$12))-32)/1.8+243.04)))/('Cooling Tower &amp; Corrugated Fill'!$C$14-(0.61094*EXP(17.625*(((C404+0.4*'Cooling Tower &amp; Corrugated Fill'!$C$12))-32)/1.8/((((C404+0.4*'Cooling Tower &amp; Corrugated Fill'!$C$12))-32)/1.8+243.04))))*(1061+0.444*((C404+0.4*'Cooling Tower &amp; Corrugated Fill'!$C$12))))-('Merkel Solver'!$C$4+'Cooling Tower &amp; Corrugated Fill'!$C$13*0.4*'Cooling Tower &amp; Corrugated Fill'!$C$12)</f>
        <v/>
      </c>
      <c r="F404" s="14">
        <f>(0.24*((C404+0.6*'Cooling Tower &amp; Corrugated Fill'!$C$12))+0.62198*(0.61094*EXP(17.625*(((C404+0.6*'Cooling Tower &amp; Corrugated Fill'!$C$12))-32)/1.8/((((C404+0.6*'Cooling Tower &amp; Corrugated Fill'!$C$12))-32)/1.8+243.04)))/('Cooling Tower &amp; Corrugated Fill'!$C$14-(0.61094*EXP(17.625*(((C404+0.6*'Cooling Tower &amp; Corrugated Fill'!$C$12))-32)/1.8/((((C404+0.6*'Cooling Tower &amp; Corrugated Fill'!$C$12))-32)/1.8+243.04))))*(1061+0.444*((C404+0.6*'Cooling Tower &amp; Corrugated Fill'!$C$12))))-('Merkel Solver'!$C$4+'Cooling Tower &amp; Corrugated Fill'!$C$13*0.6*'Cooling Tower &amp; Corrugated Fill'!$C$12)</f>
        <v/>
      </c>
      <c r="G404" s="14">
        <f>(0.24*((C404+0.9*'Cooling Tower &amp; Corrugated Fill'!$C$12))+0.62198*(0.61094*EXP(17.625*(((C404+0.9*'Cooling Tower &amp; Corrugated Fill'!$C$12))-32)/1.8/((((C404+0.9*'Cooling Tower &amp; Corrugated Fill'!$C$12))-32)/1.8+243.04)))/('Cooling Tower &amp; Corrugated Fill'!$C$14-(0.61094*EXP(17.625*(((C404+0.9*'Cooling Tower &amp; Corrugated Fill'!$C$12))-32)/1.8/((((C404+0.9*'Cooling Tower &amp; Corrugated Fill'!$C$12))-32)/1.8+243.04))))*(1061+0.444*((C404+0.9*'Cooling Tower &amp; Corrugated Fill'!$C$12))))-('Merkel Solver'!$C$4+'Cooling Tower &amp; Corrugated Fill'!$C$13*0.9*'Cooling Tower &amp; Corrugated Fill'!$C$12)</f>
        <v/>
      </c>
      <c r="H404" s="22">
        <f>IF(MIN(D404:G404)&lt;=0,99999,'Cooling Tower &amp; Corrugated Fill'!$C$12/4*(1/D404+1/E404+1/F404+1/G404))</f>
        <v/>
      </c>
    </row>
    <row r="405">
      <c r="B405" s="30" t="n">
        <v>39.9</v>
      </c>
      <c r="C405" s="12">
        <f>'Dashboard'!$C$9+B405</f>
        <v/>
      </c>
      <c r="D405" s="14">
        <f>(0.24*((C405+0.1*'Cooling Tower &amp; Corrugated Fill'!$C$12))+0.62198*(0.61094*EXP(17.625*(((C405+0.1*'Cooling Tower &amp; Corrugated Fill'!$C$12))-32)/1.8/((((C405+0.1*'Cooling Tower &amp; Corrugated Fill'!$C$12))-32)/1.8+243.04)))/('Cooling Tower &amp; Corrugated Fill'!$C$14-(0.61094*EXP(17.625*(((C405+0.1*'Cooling Tower &amp; Corrugated Fill'!$C$12))-32)/1.8/((((C405+0.1*'Cooling Tower &amp; Corrugated Fill'!$C$12))-32)/1.8+243.04))))*(1061+0.444*((C405+0.1*'Cooling Tower &amp; Corrugated Fill'!$C$12))))-('Merkel Solver'!$C$4+'Cooling Tower &amp; Corrugated Fill'!$C$13*0.1*'Cooling Tower &amp; Corrugated Fill'!$C$12)</f>
        <v/>
      </c>
      <c r="E405" s="14">
        <f>(0.24*((C405+0.4*'Cooling Tower &amp; Corrugated Fill'!$C$12))+0.62198*(0.61094*EXP(17.625*(((C405+0.4*'Cooling Tower &amp; Corrugated Fill'!$C$12))-32)/1.8/((((C405+0.4*'Cooling Tower &amp; Corrugated Fill'!$C$12))-32)/1.8+243.04)))/('Cooling Tower &amp; Corrugated Fill'!$C$14-(0.61094*EXP(17.625*(((C405+0.4*'Cooling Tower &amp; Corrugated Fill'!$C$12))-32)/1.8/((((C405+0.4*'Cooling Tower &amp; Corrugated Fill'!$C$12))-32)/1.8+243.04))))*(1061+0.444*((C405+0.4*'Cooling Tower &amp; Corrugated Fill'!$C$12))))-('Merkel Solver'!$C$4+'Cooling Tower &amp; Corrugated Fill'!$C$13*0.4*'Cooling Tower &amp; Corrugated Fill'!$C$12)</f>
        <v/>
      </c>
      <c r="F405" s="14">
        <f>(0.24*((C405+0.6*'Cooling Tower &amp; Corrugated Fill'!$C$12))+0.62198*(0.61094*EXP(17.625*(((C405+0.6*'Cooling Tower &amp; Corrugated Fill'!$C$12))-32)/1.8/((((C405+0.6*'Cooling Tower &amp; Corrugated Fill'!$C$12))-32)/1.8+243.04)))/('Cooling Tower &amp; Corrugated Fill'!$C$14-(0.61094*EXP(17.625*(((C405+0.6*'Cooling Tower &amp; Corrugated Fill'!$C$12))-32)/1.8/((((C405+0.6*'Cooling Tower &amp; Corrugated Fill'!$C$12))-32)/1.8+243.04))))*(1061+0.444*((C405+0.6*'Cooling Tower &amp; Corrugated Fill'!$C$12))))-('Merkel Solver'!$C$4+'Cooling Tower &amp; Corrugated Fill'!$C$13*0.6*'Cooling Tower &amp; Corrugated Fill'!$C$12)</f>
        <v/>
      </c>
      <c r="G405" s="14">
        <f>(0.24*((C405+0.9*'Cooling Tower &amp; Corrugated Fill'!$C$12))+0.62198*(0.61094*EXP(17.625*(((C405+0.9*'Cooling Tower &amp; Corrugated Fill'!$C$12))-32)/1.8/((((C405+0.9*'Cooling Tower &amp; Corrugated Fill'!$C$12))-32)/1.8+243.04)))/('Cooling Tower &amp; Corrugated Fill'!$C$14-(0.61094*EXP(17.625*(((C405+0.9*'Cooling Tower &amp; Corrugated Fill'!$C$12))-32)/1.8/((((C405+0.9*'Cooling Tower &amp; Corrugated Fill'!$C$12))-32)/1.8+243.04))))*(1061+0.444*((C405+0.9*'Cooling Tower &amp; Corrugated Fill'!$C$12))))-('Merkel Solver'!$C$4+'Cooling Tower &amp; Corrugated Fill'!$C$13*0.9*'Cooling Tower &amp; Corrugated Fill'!$C$12)</f>
        <v/>
      </c>
      <c r="H405" s="22">
        <f>IF(MIN(D405:G405)&lt;=0,99999,'Cooling Tower &amp; Corrugated Fill'!$C$12/4*(1/D405+1/E405+1/F405+1/G405))</f>
        <v/>
      </c>
    </row>
    <row r="406">
      <c r="B406" s="30" t="n">
        <v>40</v>
      </c>
      <c r="C406" s="12">
        <f>'Dashboard'!$C$9+B406</f>
        <v/>
      </c>
      <c r="D406" s="14">
        <f>(0.24*((C406+0.1*'Cooling Tower &amp; Corrugated Fill'!$C$12))+0.62198*(0.61094*EXP(17.625*(((C406+0.1*'Cooling Tower &amp; Corrugated Fill'!$C$12))-32)/1.8/((((C406+0.1*'Cooling Tower &amp; Corrugated Fill'!$C$12))-32)/1.8+243.04)))/('Cooling Tower &amp; Corrugated Fill'!$C$14-(0.61094*EXP(17.625*(((C406+0.1*'Cooling Tower &amp; Corrugated Fill'!$C$12))-32)/1.8/((((C406+0.1*'Cooling Tower &amp; Corrugated Fill'!$C$12))-32)/1.8+243.04))))*(1061+0.444*((C406+0.1*'Cooling Tower &amp; Corrugated Fill'!$C$12))))-('Merkel Solver'!$C$4+'Cooling Tower &amp; Corrugated Fill'!$C$13*0.1*'Cooling Tower &amp; Corrugated Fill'!$C$12)</f>
        <v/>
      </c>
      <c r="E406" s="14">
        <f>(0.24*((C406+0.4*'Cooling Tower &amp; Corrugated Fill'!$C$12))+0.62198*(0.61094*EXP(17.625*(((C406+0.4*'Cooling Tower &amp; Corrugated Fill'!$C$12))-32)/1.8/((((C406+0.4*'Cooling Tower &amp; Corrugated Fill'!$C$12))-32)/1.8+243.04)))/('Cooling Tower &amp; Corrugated Fill'!$C$14-(0.61094*EXP(17.625*(((C406+0.4*'Cooling Tower &amp; Corrugated Fill'!$C$12))-32)/1.8/((((C406+0.4*'Cooling Tower &amp; Corrugated Fill'!$C$12))-32)/1.8+243.04))))*(1061+0.444*((C406+0.4*'Cooling Tower &amp; Corrugated Fill'!$C$12))))-('Merkel Solver'!$C$4+'Cooling Tower &amp; Corrugated Fill'!$C$13*0.4*'Cooling Tower &amp; Corrugated Fill'!$C$12)</f>
        <v/>
      </c>
      <c r="F406" s="14">
        <f>(0.24*((C406+0.6*'Cooling Tower &amp; Corrugated Fill'!$C$12))+0.62198*(0.61094*EXP(17.625*(((C406+0.6*'Cooling Tower &amp; Corrugated Fill'!$C$12))-32)/1.8/((((C406+0.6*'Cooling Tower &amp; Corrugated Fill'!$C$12))-32)/1.8+243.04)))/('Cooling Tower &amp; Corrugated Fill'!$C$14-(0.61094*EXP(17.625*(((C406+0.6*'Cooling Tower &amp; Corrugated Fill'!$C$12))-32)/1.8/((((C406+0.6*'Cooling Tower &amp; Corrugated Fill'!$C$12))-32)/1.8+243.04))))*(1061+0.444*((C406+0.6*'Cooling Tower &amp; Corrugated Fill'!$C$12))))-('Merkel Solver'!$C$4+'Cooling Tower &amp; Corrugated Fill'!$C$13*0.6*'Cooling Tower &amp; Corrugated Fill'!$C$12)</f>
        <v/>
      </c>
      <c r="G406" s="14">
        <f>(0.24*((C406+0.9*'Cooling Tower &amp; Corrugated Fill'!$C$12))+0.62198*(0.61094*EXP(17.625*(((C406+0.9*'Cooling Tower &amp; Corrugated Fill'!$C$12))-32)/1.8/((((C406+0.9*'Cooling Tower &amp; Corrugated Fill'!$C$12))-32)/1.8+243.04)))/('Cooling Tower &amp; Corrugated Fill'!$C$14-(0.61094*EXP(17.625*(((C406+0.9*'Cooling Tower &amp; Corrugated Fill'!$C$12))-32)/1.8/((((C406+0.9*'Cooling Tower &amp; Corrugated Fill'!$C$12))-32)/1.8+243.04))))*(1061+0.444*((C406+0.9*'Cooling Tower &amp; Corrugated Fill'!$C$12))))-('Merkel Solver'!$C$4+'Cooling Tower &amp; Corrugated Fill'!$C$13*0.9*'Cooling Tower &amp; Corrugated Fill'!$C$12)</f>
        <v/>
      </c>
      <c r="H406" s="22">
        <f>IF(MIN(D406:G406)&lt;=0,99999,'Cooling Tower &amp; Corrugated Fill'!$C$12/4*(1/D406+1/E406+1/F406+1/G406))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2026-10-16T16:49:23Z</dcterms:created>
  <dcterms:modified xsi:type="dcterms:W3CDTF">2026-10-16T16:49:24Z</dcterms:modified>
</cp:coreProperties>
</file>